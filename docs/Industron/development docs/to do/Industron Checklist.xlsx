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adsf\Downloads\"/>
    </mc:Choice>
  </mc:AlternateContent>
  <xr:revisionPtr revIDLastSave="0" documentId="13_ncr:1_{43CA02FC-CC96-4A92-8C95-F095E4C57DCE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INFO" sheetId="1" r:id="rId1"/>
    <sheet name="Input" sheetId="2" r:id="rId2"/>
    <sheet name="Alphabetisk" sheetId="3" r:id="rId3"/>
  </sheets>
  <definedNames>
    <definedName name="_xlnm._FilterDatabase" localSheetId="2" hidden="1">Alphabetisk!$A$1:$H$501</definedName>
    <definedName name="_xlnm._FilterDatabase" localSheetId="1" hidden="1">Input!$A$1:$K$501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2" i="2"/>
  <c r="I501" i="2"/>
  <c r="J501" i="2" s="1"/>
  <c r="I500" i="2"/>
  <c r="J500" i="2" s="1"/>
  <c r="I499" i="2"/>
  <c r="J499" i="2" s="1"/>
  <c r="I498" i="2"/>
  <c r="J498" i="2" s="1"/>
  <c r="I497" i="2"/>
  <c r="J497" i="2" s="1"/>
  <c r="I496" i="2"/>
  <c r="J496" i="2" s="1"/>
  <c r="I495" i="2"/>
  <c r="J495" i="2" s="1"/>
  <c r="I494" i="2"/>
  <c r="J494" i="2" s="1"/>
  <c r="I493" i="2"/>
  <c r="J493" i="2" s="1"/>
  <c r="I492" i="2"/>
  <c r="J492" i="2" s="1"/>
  <c r="I491" i="2"/>
  <c r="J491" i="2" s="1"/>
  <c r="I490" i="2"/>
  <c r="J490" i="2" s="1"/>
  <c r="I489" i="2"/>
  <c r="J489" i="2" s="1"/>
  <c r="I488" i="2"/>
  <c r="J488" i="2" s="1"/>
  <c r="I487" i="2"/>
  <c r="J487" i="2" s="1"/>
  <c r="I486" i="2"/>
  <c r="J486" i="2" s="1"/>
  <c r="I485" i="2"/>
  <c r="J485" i="2" s="1"/>
  <c r="I484" i="2"/>
  <c r="J484" i="2" s="1"/>
  <c r="I483" i="2"/>
  <c r="J483" i="2" s="1"/>
  <c r="I482" i="2"/>
  <c r="J482" i="2" s="1"/>
  <c r="I481" i="2"/>
  <c r="J481" i="2" s="1"/>
  <c r="I480" i="2"/>
  <c r="J480" i="2" s="1"/>
  <c r="I479" i="2"/>
  <c r="J479" i="2" s="1"/>
  <c r="I478" i="2"/>
  <c r="J478" i="2" s="1"/>
  <c r="I477" i="2"/>
  <c r="J477" i="2" s="1"/>
  <c r="I476" i="2"/>
  <c r="J476" i="2" s="1"/>
  <c r="I475" i="2"/>
  <c r="J475" i="2" s="1"/>
  <c r="I474" i="2"/>
  <c r="J474" i="2" s="1"/>
  <c r="I473" i="2"/>
  <c r="J473" i="2" s="1"/>
  <c r="I472" i="2"/>
  <c r="J472" i="2" s="1"/>
  <c r="I471" i="2"/>
  <c r="J471" i="2" s="1"/>
  <c r="I470" i="2"/>
  <c r="J470" i="2" s="1"/>
  <c r="I469" i="2"/>
  <c r="J469" i="2" s="1"/>
  <c r="I468" i="2"/>
  <c r="J468" i="2" s="1"/>
  <c r="I467" i="2"/>
  <c r="J467" i="2" s="1"/>
  <c r="I466" i="2"/>
  <c r="J466" i="2" s="1"/>
  <c r="I465" i="2"/>
  <c r="J465" i="2" s="1"/>
  <c r="I464" i="2"/>
  <c r="J464" i="2" s="1"/>
  <c r="I463" i="2"/>
  <c r="J463" i="2" s="1"/>
  <c r="I462" i="2"/>
  <c r="J462" i="2" s="1"/>
  <c r="I461" i="2"/>
  <c r="J461" i="2" s="1"/>
  <c r="I460" i="2"/>
  <c r="J460" i="2" s="1"/>
  <c r="I459" i="2"/>
  <c r="J459" i="2" s="1"/>
  <c r="I458" i="2"/>
  <c r="J458" i="2" s="1"/>
  <c r="I457" i="2"/>
  <c r="J457" i="2" s="1"/>
  <c r="I456" i="2"/>
  <c r="J456" i="2" s="1"/>
  <c r="I455" i="2"/>
  <c r="J455" i="2" s="1"/>
  <c r="I454" i="2"/>
  <c r="J454" i="2" s="1"/>
  <c r="I453" i="2"/>
  <c r="J453" i="2" s="1"/>
  <c r="I452" i="2"/>
  <c r="J452" i="2" s="1"/>
  <c r="I451" i="2"/>
  <c r="J451" i="2" s="1"/>
  <c r="I450" i="2"/>
  <c r="J450" i="2" s="1"/>
  <c r="I449" i="2"/>
  <c r="J449" i="2" s="1"/>
  <c r="I448" i="2"/>
  <c r="J448" i="2" s="1"/>
  <c r="I447" i="2"/>
  <c r="J447" i="2" s="1"/>
  <c r="I446" i="2"/>
  <c r="J446" i="2" s="1"/>
  <c r="I445" i="2"/>
  <c r="J445" i="2" s="1"/>
  <c r="I444" i="2"/>
  <c r="J444" i="2" s="1"/>
  <c r="I443" i="2"/>
  <c r="J443" i="2" s="1"/>
  <c r="I442" i="2"/>
  <c r="J442" i="2" s="1"/>
  <c r="I441" i="2"/>
  <c r="J441" i="2" s="1"/>
  <c r="I440" i="2"/>
  <c r="J440" i="2" s="1"/>
  <c r="I439" i="2"/>
  <c r="J439" i="2" s="1"/>
  <c r="I438" i="2"/>
  <c r="J438" i="2" s="1"/>
  <c r="I437" i="2"/>
  <c r="J437" i="2" s="1"/>
  <c r="I436" i="2"/>
  <c r="J436" i="2" s="1"/>
  <c r="I435" i="2"/>
  <c r="J435" i="2" s="1"/>
  <c r="I434" i="2"/>
  <c r="J434" i="2" s="1"/>
  <c r="I433" i="2"/>
  <c r="J433" i="2" s="1"/>
  <c r="I432" i="2"/>
  <c r="J432" i="2" s="1"/>
  <c r="I431" i="2"/>
  <c r="J431" i="2" s="1"/>
  <c r="I430" i="2"/>
  <c r="J430" i="2" s="1"/>
  <c r="I429" i="2"/>
  <c r="J429" i="2" s="1"/>
  <c r="I428" i="2"/>
  <c r="J428" i="2" s="1"/>
  <c r="I427" i="2"/>
  <c r="J427" i="2" s="1"/>
  <c r="I426" i="2"/>
  <c r="J426" i="2" s="1"/>
  <c r="I425" i="2"/>
  <c r="J425" i="2" s="1"/>
  <c r="I424" i="2"/>
  <c r="J424" i="2" s="1"/>
  <c r="I423" i="2"/>
  <c r="J423" i="2" s="1"/>
  <c r="I422" i="2"/>
  <c r="J422" i="2" s="1"/>
  <c r="I421" i="2"/>
  <c r="J421" i="2" s="1"/>
  <c r="I420" i="2"/>
  <c r="J420" i="2" s="1"/>
  <c r="I419" i="2"/>
  <c r="J419" i="2" s="1"/>
  <c r="I418" i="2"/>
  <c r="J418" i="2" s="1"/>
  <c r="I417" i="2"/>
  <c r="J417" i="2" s="1"/>
  <c r="I416" i="2"/>
  <c r="J416" i="2" s="1"/>
  <c r="I415" i="2"/>
  <c r="J415" i="2" s="1"/>
  <c r="I414" i="2"/>
  <c r="J414" i="2" s="1"/>
  <c r="I413" i="2"/>
  <c r="J413" i="2" s="1"/>
  <c r="I412" i="2"/>
  <c r="J412" i="2" s="1"/>
  <c r="I411" i="2"/>
  <c r="J411" i="2" s="1"/>
  <c r="I410" i="2"/>
  <c r="J410" i="2" s="1"/>
  <c r="I409" i="2"/>
  <c r="J409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46" i="2"/>
  <c r="I145" i="2"/>
  <c r="I144" i="2"/>
  <c r="I143" i="2"/>
  <c r="I135" i="2"/>
  <c r="I134" i="2"/>
  <c r="I133" i="2"/>
  <c r="I132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2" i="2"/>
  <c r="I141" i="2"/>
  <c r="I140" i="2"/>
  <c r="I139" i="2"/>
  <c r="I138" i="2"/>
  <c r="I137" i="2"/>
  <c r="I136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J145" i="2" l="1"/>
  <c r="J146" i="2"/>
  <c r="J143" i="2"/>
  <c r="J144" i="2"/>
  <c r="J134" i="2"/>
  <c r="J135" i="2"/>
  <c r="J132" i="2"/>
  <c r="J133" i="2"/>
  <c r="J169" i="2"/>
  <c r="J168" i="2"/>
  <c r="J170" i="2"/>
  <c r="J172" i="2"/>
  <c r="J171" i="2"/>
  <c r="J173" i="2"/>
  <c r="J167" i="2"/>
  <c r="J166" i="2"/>
  <c r="J165" i="2"/>
  <c r="J164" i="2"/>
  <c r="J163" i="2"/>
  <c r="J161" i="2"/>
  <c r="J162" i="2"/>
  <c r="J160" i="2"/>
  <c r="J159" i="2"/>
  <c r="J158" i="2"/>
  <c r="J157" i="2"/>
  <c r="J156" i="2"/>
  <c r="J155" i="2"/>
  <c r="J154" i="2"/>
  <c r="J3" i="2"/>
  <c r="J2" i="2"/>
  <c r="J80" i="2"/>
  <c r="J60" i="2"/>
  <c r="J153" i="2"/>
  <c r="J147" i="2"/>
  <c r="J139" i="2"/>
  <c r="J136" i="2"/>
  <c r="J130" i="2"/>
  <c r="J119" i="2"/>
  <c r="J115" i="2"/>
  <c r="J110" i="2"/>
  <c r="J105" i="2"/>
  <c r="J100" i="2"/>
  <c r="J18" i="2"/>
  <c r="J11" i="2"/>
  <c r="J4" i="2"/>
  <c r="J151" i="2"/>
  <c r="J148" i="2"/>
  <c r="J138" i="2"/>
  <c r="J129" i="2"/>
  <c r="J120" i="2"/>
  <c r="J117" i="2"/>
  <c r="J111" i="2"/>
  <c r="J107" i="2"/>
  <c r="J101" i="2"/>
  <c r="J97" i="2"/>
  <c r="J93" i="2"/>
  <c r="J88" i="2"/>
  <c r="J83" i="2"/>
  <c r="J78" i="2"/>
  <c r="J75" i="2"/>
  <c r="J71" i="2"/>
  <c r="J68" i="2"/>
  <c r="J64" i="2"/>
  <c r="J46" i="2"/>
  <c r="J40" i="2"/>
  <c r="J35" i="2"/>
  <c r="J31" i="2"/>
  <c r="J25" i="2"/>
  <c r="J19" i="2"/>
  <c r="J12" i="2"/>
  <c r="J6" i="2"/>
  <c r="J74" i="2"/>
  <c r="J50" i="2"/>
  <c r="J42" i="2"/>
  <c r="J36" i="2"/>
  <c r="J29" i="2"/>
  <c r="J24" i="2"/>
  <c r="J17" i="2"/>
  <c r="J9" i="2"/>
  <c r="J152" i="2"/>
  <c r="J140" i="2"/>
  <c r="J131" i="2"/>
  <c r="J118" i="2"/>
  <c r="J109" i="2"/>
  <c r="J103" i="2"/>
  <c r="J95" i="2"/>
  <c r="J89" i="2"/>
  <c r="J84" i="2"/>
  <c r="J79" i="2"/>
  <c r="J76" i="2"/>
  <c r="J69" i="2"/>
  <c r="J65" i="2"/>
  <c r="J47" i="2"/>
  <c r="J41" i="2"/>
  <c r="J34" i="2"/>
  <c r="J28" i="2"/>
  <c r="J22" i="2"/>
  <c r="J14" i="2"/>
  <c r="J7" i="2"/>
  <c r="J149" i="2"/>
  <c r="J142" i="2"/>
  <c r="J128" i="2"/>
  <c r="J113" i="2"/>
  <c r="J104" i="2"/>
  <c r="J96" i="2"/>
  <c r="J90" i="2"/>
  <c r="J86" i="2"/>
  <c r="J150" i="2"/>
  <c r="J141" i="2"/>
  <c r="J137" i="2"/>
  <c r="J127" i="2"/>
  <c r="J114" i="2"/>
  <c r="J106" i="2"/>
  <c r="J99" i="2"/>
  <c r="J92" i="2"/>
  <c r="J87" i="2"/>
  <c r="J82" i="2"/>
  <c r="J72" i="2"/>
  <c r="J67" i="2"/>
  <c r="J49" i="2"/>
  <c r="J44" i="2"/>
  <c r="J37" i="2"/>
  <c r="J30" i="2"/>
  <c r="J23" i="2"/>
  <c r="J16" i="2"/>
  <c r="J8" i="2"/>
  <c r="J126" i="2"/>
  <c r="J125" i="2"/>
  <c r="J124" i="2"/>
  <c r="J123" i="2"/>
  <c r="J122" i="2"/>
  <c r="J121" i="2"/>
  <c r="J116" i="2"/>
  <c r="J112" i="2"/>
  <c r="J108" i="2"/>
  <c r="J102" i="2"/>
  <c r="J98" i="2"/>
  <c r="J94" i="2"/>
  <c r="J91" i="2"/>
  <c r="J85" i="2"/>
  <c r="J81" i="2"/>
  <c r="J77" i="2"/>
  <c r="J73" i="2"/>
  <c r="J70" i="2"/>
  <c r="J66" i="2"/>
  <c r="J48" i="2"/>
  <c r="J43" i="2"/>
  <c r="J38" i="2"/>
  <c r="J32" i="2"/>
  <c r="J26" i="2"/>
  <c r="J21" i="2"/>
  <c r="J15" i="2"/>
  <c r="J10" i="2"/>
  <c r="J63" i="2"/>
  <c r="J62" i="2"/>
  <c r="J61" i="2"/>
  <c r="J59" i="2"/>
  <c r="J58" i="2"/>
  <c r="J57" i="2"/>
  <c r="J56" i="2"/>
  <c r="J55" i="2"/>
  <c r="J54" i="2"/>
  <c r="J53" i="2"/>
  <c r="J52" i="2"/>
  <c r="J51" i="2"/>
  <c r="J45" i="2"/>
  <c r="J39" i="2"/>
  <c r="J33" i="2"/>
  <c r="J27" i="2"/>
  <c r="J20" i="2"/>
  <c r="J13" i="2"/>
  <c r="J5" i="2"/>
  <c r="H128" i="3" l="1"/>
  <c r="F149" i="3"/>
  <c r="H149" i="3"/>
  <c r="A150" i="3"/>
  <c r="C150" i="3"/>
  <c r="B358" i="3"/>
  <c r="C358" i="3"/>
  <c r="E358" i="3"/>
  <c r="F358" i="3"/>
  <c r="H358" i="3"/>
  <c r="B359" i="3"/>
  <c r="D359" i="3"/>
  <c r="E359" i="3"/>
  <c r="G359" i="3"/>
  <c r="A360" i="3"/>
  <c r="B360" i="3"/>
  <c r="D360" i="3"/>
  <c r="F360" i="3"/>
  <c r="G360" i="3"/>
  <c r="F146" i="3"/>
  <c r="G146" i="3"/>
  <c r="A147" i="3"/>
  <c r="B147" i="3"/>
  <c r="C147" i="3"/>
  <c r="D147" i="3"/>
  <c r="E147" i="3"/>
  <c r="F147" i="3"/>
  <c r="G147" i="3"/>
  <c r="H147" i="3"/>
  <c r="A148" i="3"/>
  <c r="B148" i="3"/>
  <c r="C148" i="3"/>
  <c r="D148" i="3"/>
  <c r="E148" i="3"/>
  <c r="F148" i="3"/>
  <c r="F137" i="3"/>
  <c r="G148" i="3"/>
  <c r="H148" i="3"/>
  <c r="A149" i="3"/>
  <c r="B149" i="3"/>
  <c r="C149" i="3"/>
  <c r="E149" i="3"/>
  <c r="G149" i="3"/>
  <c r="B150" i="3"/>
  <c r="A358" i="3"/>
  <c r="D358" i="3"/>
  <c r="G358" i="3"/>
  <c r="A359" i="3"/>
  <c r="C359" i="3"/>
  <c r="F359" i="3"/>
  <c r="H359" i="3"/>
  <c r="C360" i="3"/>
  <c r="E360" i="3"/>
  <c r="G126" i="3"/>
  <c r="H126" i="3"/>
  <c r="A127" i="3"/>
  <c r="B127" i="3"/>
  <c r="C127" i="3"/>
  <c r="D127" i="3"/>
  <c r="E127" i="3"/>
  <c r="F127" i="3"/>
  <c r="G127" i="3"/>
  <c r="H127" i="3"/>
  <c r="A128" i="3"/>
  <c r="B128" i="3"/>
  <c r="C128" i="3"/>
  <c r="D128" i="3"/>
  <c r="E128" i="3"/>
  <c r="F128" i="3"/>
  <c r="G128" i="3"/>
  <c r="H360" i="3"/>
  <c r="A129" i="3"/>
  <c r="B129" i="3"/>
  <c r="C129" i="3"/>
  <c r="D129" i="3"/>
  <c r="E129" i="3"/>
  <c r="F129" i="3"/>
  <c r="G129" i="3"/>
  <c r="H129" i="3"/>
  <c r="A130" i="3"/>
  <c r="B130" i="3"/>
  <c r="C130" i="3"/>
  <c r="D130" i="3"/>
  <c r="E130" i="3"/>
  <c r="F130" i="3"/>
  <c r="G130" i="3"/>
  <c r="H130" i="3"/>
  <c r="A131" i="3"/>
  <c r="B131" i="3"/>
  <c r="C131" i="3"/>
  <c r="D131" i="3"/>
  <c r="E131" i="3"/>
  <c r="F131" i="3"/>
  <c r="G131" i="3"/>
  <c r="H131" i="3"/>
  <c r="A132" i="3"/>
  <c r="B132" i="3"/>
  <c r="C132" i="3"/>
  <c r="D132" i="3"/>
  <c r="E132" i="3"/>
  <c r="F132" i="3"/>
  <c r="G132" i="3"/>
  <c r="H132" i="3"/>
  <c r="A133" i="3"/>
  <c r="B133" i="3"/>
  <c r="C133" i="3"/>
  <c r="D133" i="3"/>
  <c r="E133" i="3"/>
  <c r="F133" i="3"/>
  <c r="G133" i="3"/>
  <c r="H133" i="3"/>
  <c r="A134" i="3"/>
  <c r="B134" i="3"/>
  <c r="C134" i="3"/>
  <c r="D134" i="3"/>
  <c r="E134" i="3"/>
  <c r="F134" i="3"/>
  <c r="G134" i="3"/>
  <c r="H134" i="3"/>
  <c r="A135" i="3"/>
  <c r="B135" i="3"/>
  <c r="C135" i="3"/>
  <c r="D135" i="3"/>
  <c r="E135" i="3"/>
  <c r="F135" i="3"/>
  <c r="G135" i="3"/>
  <c r="H135" i="3"/>
  <c r="A136" i="3"/>
  <c r="B136" i="3"/>
  <c r="C136" i="3"/>
  <c r="D136" i="3"/>
  <c r="E136" i="3"/>
  <c r="F136" i="3"/>
  <c r="G136" i="3"/>
  <c r="H136" i="3"/>
  <c r="A137" i="3"/>
  <c r="B137" i="3"/>
  <c r="C137" i="3"/>
  <c r="D137" i="3"/>
  <c r="E137" i="3"/>
  <c r="H146" i="3"/>
  <c r="G137" i="3"/>
  <c r="H137" i="3"/>
  <c r="A138" i="3"/>
  <c r="B138" i="3"/>
  <c r="C138" i="3"/>
  <c r="D138" i="3"/>
  <c r="E138" i="3"/>
  <c r="F138" i="3"/>
  <c r="G138" i="3"/>
  <c r="H138" i="3"/>
  <c r="A139" i="3"/>
  <c r="B139" i="3"/>
  <c r="C139" i="3"/>
  <c r="D139" i="3"/>
  <c r="E139" i="3"/>
  <c r="F139" i="3"/>
  <c r="G139" i="3"/>
  <c r="H139" i="3"/>
  <c r="A140" i="3"/>
  <c r="B140" i="3"/>
  <c r="C140" i="3"/>
  <c r="D140" i="3"/>
  <c r="E140" i="3"/>
  <c r="F140" i="3"/>
  <c r="G140" i="3"/>
  <c r="H140" i="3"/>
  <c r="A141" i="3"/>
  <c r="B141" i="3"/>
  <c r="C141" i="3"/>
  <c r="D141" i="3"/>
  <c r="E141" i="3"/>
  <c r="F141" i="3"/>
  <c r="G141" i="3"/>
  <c r="H141" i="3"/>
  <c r="A142" i="3"/>
  <c r="B142" i="3"/>
  <c r="C142" i="3"/>
  <c r="D142" i="3"/>
  <c r="E142" i="3"/>
  <c r="F142" i="3"/>
  <c r="G142" i="3"/>
  <c r="H142" i="3"/>
  <c r="A143" i="3"/>
  <c r="B143" i="3"/>
  <c r="C143" i="3"/>
  <c r="D143" i="3"/>
  <c r="E143" i="3"/>
  <c r="F143" i="3"/>
  <c r="G143" i="3"/>
  <c r="H143" i="3"/>
  <c r="A144" i="3"/>
  <c r="B144" i="3"/>
  <c r="C144" i="3"/>
  <c r="D144" i="3"/>
  <c r="E144" i="3"/>
  <c r="F144" i="3"/>
  <c r="G144" i="3"/>
  <c r="H144" i="3"/>
  <c r="A145" i="3"/>
  <c r="B145" i="3"/>
  <c r="C145" i="3"/>
  <c r="D145" i="3"/>
  <c r="E145" i="3"/>
  <c r="F145" i="3"/>
  <c r="G145" i="3"/>
  <c r="H145" i="3"/>
  <c r="A146" i="3"/>
  <c r="B146" i="3"/>
  <c r="C146" i="3"/>
  <c r="D146" i="3"/>
  <c r="E146" i="3"/>
  <c r="D149" i="3"/>
  <c r="C120" i="3"/>
  <c r="D120" i="3"/>
  <c r="E120" i="3"/>
  <c r="F120" i="3"/>
  <c r="G120" i="3"/>
  <c r="H120" i="3"/>
  <c r="A121" i="3"/>
  <c r="B121" i="3"/>
  <c r="C121" i="3"/>
  <c r="D121" i="3"/>
  <c r="E121" i="3"/>
  <c r="F121" i="3"/>
  <c r="G121" i="3"/>
  <c r="H121" i="3"/>
  <c r="A122" i="3"/>
  <c r="B120" i="3"/>
  <c r="C122" i="3"/>
  <c r="D122" i="3"/>
  <c r="E122" i="3"/>
  <c r="F122" i="3"/>
  <c r="G122" i="3"/>
  <c r="H122" i="3"/>
  <c r="A123" i="3"/>
  <c r="B123" i="3"/>
  <c r="C123" i="3"/>
  <c r="D123" i="3"/>
  <c r="E123" i="3"/>
  <c r="F123" i="3"/>
  <c r="G123" i="3"/>
  <c r="H123" i="3"/>
  <c r="A124" i="3"/>
  <c r="B124" i="3"/>
  <c r="C124" i="3"/>
  <c r="D124" i="3"/>
  <c r="F124" i="3"/>
  <c r="G124" i="3"/>
  <c r="H124" i="3"/>
  <c r="A125" i="3"/>
  <c r="B125" i="3"/>
  <c r="C125" i="3"/>
  <c r="D125" i="3"/>
  <c r="E125" i="3"/>
  <c r="F125" i="3"/>
  <c r="G125" i="3"/>
  <c r="H125" i="3"/>
  <c r="A126" i="3"/>
  <c r="B126" i="3"/>
  <c r="C126" i="3"/>
  <c r="D126" i="3"/>
  <c r="E126" i="3"/>
  <c r="F126" i="3"/>
  <c r="E124" i="3"/>
  <c r="H118" i="3"/>
  <c r="B119" i="3"/>
  <c r="D119" i="3"/>
  <c r="G119" i="3"/>
  <c r="C118" i="3"/>
  <c r="G118" i="3"/>
  <c r="B122" i="3"/>
  <c r="A119" i="3"/>
  <c r="C119" i="3"/>
  <c r="E119" i="3"/>
  <c r="H119" i="3"/>
  <c r="D118" i="3"/>
  <c r="E118" i="3"/>
  <c r="F118" i="3"/>
  <c r="F119" i="3"/>
  <c r="A120" i="3"/>
  <c r="H202" i="3"/>
  <c r="E74" i="3"/>
  <c r="F74" i="3"/>
  <c r="G74" i="3"/>
  <c r="H74" i="3"/>
  <c r="A75" i="3"/>
  <c r="B75" i="3"/>
  <c r="C75" i="3"/>
  <c r="D75" i="3"/>
  <c r="E75" i="3"/>
  <c r="F75" i="3"/>
  <c r="G75" i="3"/>
  <c r="H75" i="3"/>
  <c r="A76" i="3"/>
  <c r="B76" i="3"/>
  <c r="C76" i="3"/>
  <c r="D150" i="3"/>
  <c r="E150" i="3"/>
  <c r="F150" i="3"/>
  <c r="G150" i="3"/>
  <c r="H150" i="3"/>
  <c r="A151" i="3"/>
  <c r="B151" i="3"/>
  <c r="C151" i="3"/>
  <c r="D151" i="3"/>
  <c r="E151" i="3"/>
  <c r="F151" i="3"/>
  <c r="G151" i="3"/>
  <c r="H151" i="3"/>
  <c r="A152" i="3"/>
  <c r="B152" i="3"/>
  <c r="C152" i="3"/>
  <c r="D152" i="3"/>
  <c r="E152" i="3"/>
  <c r="F152" i="3"/>
  <c r="G152" i="3"/>
  <c r="H152" i="3"/>
  <c r="A153" i="3"/>
  <c r="B153" i="3"/>
  <c r="C153" i="3"/>
  <c r="D153" i="3"/>
  <c r="E153" i="3"/>
  <c r="F153" i="3"/>
  <c r="G153" i="3"/>
  <c r="H153" i="3"/>
  <c r="A154" i="3"/>
  <c r="B154" i="3"/>
  <c r="C154" i="3"/>
  <c r="D154" i="3"/>
  <c r="E154" i="3"/>
  <c r="F154" i="3"/>
  <c r="G154" i="3"/>
  <c r="H154" i="3"/>
  <c r="A155" i="3"/>
  <c r="B155" i="3"/>
  <c r="C155" i="3"/>
  <c r="D155" i="3"/>
  <c r="E155" i="3"/>
  <c r="F155" i="3"/>
  <c r="G155" i="3"/>
  <c r="H155" i="3"/>
  <c r="A156" i="3"/>
  <c r="B156" i="3"/>
  <c r="C156" i="3"/>
  <c r="D156" i="3"/>
  <c r="E156" i="3"/>
  <c r="F156" i="3"/>
  <c r="G156" i="3"/>
  <c r="H156" i="3"/>
  <c r="A157" i="3"/>
  <c r="B157" i="3"/>
  <c r="C157" i="3"/>
  <c r="D157" i="3"/>
  <c r="E157" i="3"/>
  <c r="F157" i="3"/>
  <c r="G157" i="3"/>
  <c r="H157" i="3"/>
  <c r="A158" i="3"/>
  <c r="B158" i="3"/>
  <c r="C158" i="3"/>
  <c r="D158" i="3"/>
  <c r="E158" i="3"/>
  <c r="F158" i="3"/>
  <c r="G158" i="3"/>
  <c r="H158" i="3"/>
  <c r="A159" i="3"/>
  <c r="B159" i="3"/>
  <c r="C159" i="3"/>
  <c r="D159" i="3"/>
  <c r="E159" i="3"/>
  <c r="F159" i="3"/>
  <c r="G159" i="3"/>
  <c r="H159" i="3"/>
  <c r="A160" i="3"/>
  <c r="B160" i="3"/>
  <c r="C160" i="3"/>
  <c r="D160" i="3"/>
  <c r="E160" i="3"/>
  <c r="F160" i="3"/>
  <c r="G160" i="3"/>
  <c r="H160" i="3"/>
  <c r="A161" i="3"/>
  <c r="B161" i="3"/>
  <c r="C161" i="3"/>
  <c r="D161" i="3"/>
  <c r="E161" i="3"/>
  <c r="F161" i="3"/>
  <c r="G161" i="3"/>
  <c r="H161" i="3"/>
  <c r="A162" i="3"/>
  <c r="B162" i="3"/>
  <c r="C162" i="3"/>
  <c r="D162" i="3"/>
  <c r="E162" i="3"/>
  <c r="F162" i="3"/>
  <c r="G162" i="3"/>
  <c r="H162" i="3"/>
  <c r="A163" i="3"/>
  <c r="B163" i="3"/>
  <c r="C163" i="3"/>
  <c r="D163" i="3"/>
  <c r="E163" i="3"/>
  <c r="F163" i="3"/>
  <c r="G163" i="3"/>
  <c r="H163" i="3"/>
  <c r="A164" i="3"/>
  <c r="B164" i="3"/>
  <c r="C164" i="3"/>
  <c r="D164" i="3"/>
  <c r="E164" i="3"/>
  <c r="F164" i="3"/>
  <c r="G164" i="3"/>
  <c r="H164" i="3"/>
  <c r="A165" i="3"/>
  <c r="B165" i="3"/>
  <c r="C165" i="3"/>
  <c r="D165" i="3"/>
  <c r="E165" i="3"/>
  <c r="F165" i="3"/>
  <c r="G165" i="3"/>
  <c r="H165" i="3"/>
  <c r="A166" i="3"/>
  <c r="B166" i="3"/>
  <c r="C166" i="3"/>
  <c r="D166" i="3"/>
  <c r="E166" i="3"/>
  <c r="F166" i="3"/>
  <c r="G166" i="3"/>
  <c r="H166" i="3"/>
  <c r="A167" i="3"/>
  <c r="B167" i="3"/>
  <c r="C167" i="3"/>
  <c r="D167" i="3"/>
  <c r="E167" i="3"/>
  <c r="F167" i="3"/>
  <c r="G167" i="3"/>
  <c r="H167" i="3"/>
  <c r="A168" i="3"/>
  <c r="B168" i="3"/>
  <c r="C168" i="3"/>
  <c r="D168" i="3"/>
  <c r="E168" i="3"/>
  <c r="F168" i="3"/>
  <c r="G168" i="3"/>
  <c r="H168" i="3"/>
  <c r="A169" i="3"/>
  <c r="B169" i="3"/>
  <c r="C169" i="3"/>
  <c r="D169" i="3"/>
  <c r="E169" i="3"/>
  <c r="F169" i="3"/>
  <c r="G169" i="3"/>
  <c r="H169" i="3"/>
  <c r="A170" i="3"/>
  <c r="B170" i="3"/>
  <c r="C170" i="3"/>
  <c r="D170" i="3"/>
  <c r="E170" i="3"/>
  <c r="F170" i="3"/>
  <c r="G170" i="3"/>
  <c r="H170" i="3"/>
  <c r="A171" i="3"/>
  <c r="B171" i="3"/>
  <c r="C171" i="3"/>
  <c r="D171" i="3"/>
  <c r="E171" i="3"/>
  <c r="F171" i="3"/>
  <c r="G171" i="3"/>
  <c r="H171" i="3"/>
  <c r="A172" i="3"/>
  <c r="B172" i="3"/>
  <c r="C172" i="3"/>
  <c r="D172" i="3"/>
  <c r="E172" i="3"/>
  <c r="F172" i="3"/>
  <c r="G172" i="3"/>
  <c r="H172" i="3"/>
  <c r="A173" i="3"/>
  <c r="B173" i="3"/>
  <c r="C173" i="3"/>
  <c r="D173" i="3"/>
  <c r="E173" i="3"/>
  <c r="F173" i="3"/>
  <c r="G173" i="3"/>
  <c r="H173" i="3"/>
  <c r="A174" i="3"/>
  <c r="B174" i="3"/>
  <c r="C174" i="3"/>
  <c r="D174" i="3"/>
  <c r="E174" i="3"/>
  <c r="F174" i="3"/>
  <c r="G174" i="3"/>
  <c r="H174" i="3"/>
  <c r="A175" i="3"/>
  <c r="B175" i="3"/>
  <c r="C175" i="3"/>
  <c r="D175" i="3"/>
  <c r="E175" i="3"/>
  <c r="F175" i="3"/>
  <c r="G175" i="3"/>
  <c r="H175" i="3"/>
  <c r="A176" i="3"/>
  <c r="B176" i="3"/>
  <c r="C176" i="3"/>
  <c r="D176" i="3"/>
  <c r="E176" i="3"/>
  <c r="F176" i="3"/>
  <c r="G176" i="3"/>
  <c r="H176" i="3"/>
  <c r="A177" i="3"/>
  <c r="B177" i="3"/>
  <c r="C177" i="3"/>
  <c r="D177" i="3"/>
  <c r="E177" i="3"/>
  <c r="F177" i="3"/>
  <c r="G177" i="3"/>
  <c r="H177" i="3"/>
  <c r="A178" i="3"/>
  <c r="B178" i="3"/>
  <c r="C178" i="3"/>
  <c r="D178" i="3"/>
  <c r="E178" i="3"/>
  <c r="F178" i="3"/>
  <c r="G178" i="3"/>
  <c r="H178" i="3"/>
  <c r="A179" i="3"/>
  <c r="B179" i="3"/>
  <c r="C179" i="3"/>
  <c r="D179" i="3"/>
  <c r="E179" i="3"/>
  <c r="F179" i="3"/>
  <c r="G179" i="3"/>
  <c r="H179" i="3"/>
  <c r="A180" i="3"/>
  <c r="B180" i="3"/>
  <c r="C180" i="3"/>
  <c r="D180" i="3"/>
  <c r="E180" i="3"/>
  <c r="F180" i="3"/>
  <c r="G180" i="3"/>
  <c r="H180" i="3"/>
  <c r="A181" i="3"/>
  <c r="B181" i="3"/>
  <c r="C181" i="3"/>
  <c r="D181" i="3"/>
  <c r="E181" i="3"/>
  <c r="F181" i="3"/>
  <c r="G181" i="3"/>
  <c r="H181" i="3"/>
  <c r="A182" i="3"/>
  <c r="B182" i="3"/>
  <c r="C182" i="3"/>
  <c r="D182" i="3"/>
  <c r="E182" i="3"/>
  <c r="F182" i="3"/>
  <c r="G182" i="3"/>
  <c r="H182" i="3"/>
  <c r="A183" i="3"/>
  <c r="B183" i="3"/>
  <c r="C183" i="3"/>
  <c r="D183" i="3"/>
  <c r="E183" i="3"/>
  <c r="F183" i="3"/>
  <c r="G183" i="3"/>
  <c r="H183" i="3"/>
  <c r="A184" i="3"/>
  <c r="B184" i="3"/>
  <c r="C184" i="3"/>
  <c r="D184" i="3"/>
  <c r="E184" i="3"/>
  <c r="F184" i="3"/>
  <c r="G184" i="3"/>
  <c r="H184" i="3"/>
  <c r="A185" i="3"/>
  <c r="B185" i="3"/>
  <c r="C185" i="3"/>
  <c r="D185" i="3"/>
  <c r="E185" i="3"/>
  <c r="F185" i="3"/>
  <c r="G185" i="3"/>
  <c r="H185" i="3"/>
  <c r="A186" i="3"/>
  <c r="B186" i="3"/>
  <c r="C186" i="3"/>
  <c r="D186" i="3"/>
  <c r="E186" i="3"/>
  <c r="F186" i="3"/>
  <c r="G186" i="3"/>
  <c r="H186" i="3"/>
  <c r="A187" i="3"/>
  <c r="B187" i="3"/>
  <c r="C187" i="3"/>
  <c r="D187" i="3"/>
  <c r="E187" i="3"/>
  <c r="F187" i="3"/>
  <c r="G187" i="3"/>
  <c r="H187" i="3"/>
  <c r="A188" i="3"/>
  <c r="B188" i="3"/>
  <c r="C188" i="3"/>
  <c r="D188" i="3"/>
  <c r="E188" i="3"/>
  <c r="F188" i="3"/>
  <c r="G188" i="3"/>
  <c r="H188" i="3"/>
  <c r="A189" i="3"/>
  <c r="B189" i="3"/>
  <c r="C189" i="3"/>
  <c r="D189" i="3"/>
  <c r="E33" i="3"/>
  <c r="H33" i="3"/>
  <c r="C34" i="3"/>
  <c r="F34" i="3"/>
  <c r="A35" i="3"/>
  <c r="D35" i="3"/>
  <c r="G35" i="3"/>
  <c r="A36" i="3"/>
  <c r="C36" i="3"/>
  <c r="D36" i="3"/>
  <c r="F36" i="3"/>
  <c r="H36" i="3"/>
  <c r="B37" i="3"/>
  <c r="D37" i="3"/>
  <c r="G37" i="3"/>
  <c r="B38" i="3"/>
  <c r="F38" i="3"/>
  <c r="A39" i="3"/>
  <c r="D39" i="3"/>
  <c r="F39" i="3"/>
  <c r="A40" i="3"/>
  <c r="D40" i="3"/>
  <c r="G40" i="3"/>
  <c r="B41" i="3"/>
  <c r="E41" i="3"/>
  <c r="H41" i="3"/>
  <c r="C42" i="3"/>
  <c r="F42" i="3"/>
  <c r="E189" i="3"/>
  <c r="F189" i="3"/>
  <c r="G189" i="3"/>
  <c r="H189" i="3"/>
  <c r="A190" i="3"/>
  <c r="B190" i="3"/>
  <c r="C190" i="3"/>
  <c r="D190" i="3"/>
  <c r="E190" i="3"/>
  <c r="F190" i="3"/>
  <c r="G190" i="3"/>
  <c r="H190" i="3"/>
  <c r="A191" i="3"/>
  <c r="B191" i="3"/>
  <c r="C191" i="3"/>
  <c r="D191" i="3"/>
  <c r="E191" i="3"/>
  <c r="F191" i="3"/>
  <c r="G191" i="3"/>
  <c r="H191" i="3"/>
  <c r="A192" i="3"/>
  <c r="B192" i="3"/>
  <c r="C192" i="3"/>
  <c r="D192" i="3"/>
  <c r="E192" i="3"/>
  <c r="F192" i="3"/>
  <c r="G192" i="3"/>
  <c r="H192" i="3"/>
  <c r="A193" i="3"/>
  <c r="B193" i="3"/>
  <c r="C193" i="3"/>
  <c r="D193" i="3"/>
  <c r="E193" i="3"/>
  <c r="F193" i="3"/>
  <c r="G193" i="3"/>
  <c r="H193" i="3"/>
  <c r="A194" i="3"/>
  <c r="B194" i="3"/>
  <c r="C194" i="3"/>
  <c r="D194" i="3"/>
  <c r="E194" i="3"/>
  <c r="F194" i="3"/>
  <c r="G194" i="3"/>
  <c r="H194" i="3"/>
  <c r="A195" i="3"/>
  <c r="B195" i="3"/>
  <c r="C195" i="3"/>
  <c r="D195" i="3"/>
  <c r="E195" i="3"/>
  <c r="F195" i="3"/>
  <c r="G195" i="3"/>
  <c r="H195" i="3"/>
  <c r="A196" i="3"/>
  <c r="B196" i="3"/>
  <c r="C196" i="3"/>
  <c r="D196" i="3"/>
  <c r="E196" i="3"/>
  <c r="F196" i="3"/>
  <c r="G196" i="3"/>
  <c r="H196" i="3"/>
  <c r="A197" i="3"/>
  <c r="B197" i="3"/>
  <c r="C197" i="3"/>
  <c r="D197" i="3"/>
  <c r="E197" i="3"/>
  <c r="F197" i="3"/>
  <c r="G197" i="3"/>
  <c r="H197" i="3"/>
  <c r="A198" i="3"/>
  <c r="B198" i="3"/>
  <c r="C198" i="3"/>
  <c r="D198" i="3"/>
  <c r="E198" i="3"/>
  <c r="F198" i="3"/>
  <c r="G198" i="3"/>
  <c r="H198" i="3"/>
  <c r="A199" i="3"/>
  <c r="B199" i="3"/>
  <c r="C199" i="3"/>
  <c r="D199" i="3"/>
  <c r="E199" i="3"/>
  <c r="F199" i="3"/>
  <c r="G199" i="3"/>
  <c r="H199" i="3"/>
  <c r="A200" i="3"/>
  <c r="B200" i="3"/>
  <c r="C200" i="3"/>
  <c r="D200" i="3"/>
  <c r="E200" i="3"/>
  <c r="F200" i="3"/>
  <c r="G200" i="3"/>
  <c r="H200" i="3"/>
  <c r="A201" i="3"/>
  <c r="B201" i="3"/>
  <c r="C201" i="3"/>
  <c r="D201" i="3"/>
  <c r="E201" i="3"/>
  <c r="F201" i="3"/>
  <c r="G201" i="3"/>
  <c r="H201" i="3"/>
  <c r="A202" i="3"/>
  <c r="B202" i="3"/>
  <c r="C202" i="3"/>
  <c r="D202" i="3"/>
  <c r="E202" i="3"/>
  <c r="F202" i="3"/>
  <c r="G202" i="3"/>
  <c r="G229" i="3"/>
  <c r="A203" i="3"/>
  <c r="B203" i="3"/>
  <c r="C203" i="3"/>
  <c r="D203" i="3"/>
  <c r="E203" i="3"/>
  <c r="F203" i="3"/>
  <c r="G203" i="3"/>
  <c r="H203" i="3"/>
  <c r="A204" i="3"/>
  <c r="B204" i="3"/>
  <c r="C204" i="3"/>
  <c r="D204" i="3"/>
  <c r="E204" i="3"/>
  <c r="F204" i="3"/>
  <c r="G204" i="3"/>
  <c r="H204" i="3"/>
  <c r="A205" i="3"/>
  <c r="B205" i="3"/>
  <c r="C205" i="3"/>
  <c r="D205" i="3"/>
  <c r="E205" i="3"/>
  <c r="F205" i="3"/>
  <c r="G205" i="3"/>
  <c r="H205" i="3"/>
  <c r="A206" i="3"/>
  <c r="B206" i="3"/>
  <c r="C206" i="3"/>
  <c r="D206" i="3"/>
  <c r="E206" i="3"/>
  <c r="F206" i="3"/>
  <c r="G206" i="3"/>
  <c r="H206" i="3"/>
  <c r="A207" i="3"/>
  <c r="B207" i="3"/>
  <c r="C207" i="3"/>
  <c r="D207" i="3"/>
  <c r="E207" i="3"/>
  <c r="F207" i="3"/>
  <c r="G207" i="3"/>
  <c r="H207" i="3"/>
  <c r="A208" i="3"/>
  <c r="B208" i="3"/>
  <c r="C208" i="3"/>
  <c r="D208" i="3"/>
  <c r="E208" i="3"/>
  <c r="F208" i="3"/>
  <c r="G208" i="3"/>
  <c r="H208" i="3"/>
  <c r="A209" i="3"/>
  <c r="B209" i="3"/>
  <c r="C209" i="3"/>
  <c r="D209" i="3"/>
  <c r="E209" i="3"/>
  <c r="F209" i="3"/>
  <c r="G209" i="3"/>
  <c r="H209" i="3"/>
  <c r="A210" i="3"/>
  <c r="B210" i="3"/>
  <c r="C210" i="3"/>
  <c r="D210" i="3"/>
  <c r="E210" i="3"/>
  <c r="F210" i="3"/>
  <c r="G210" i="3"/>
  <c r="H210" i="3"/>
  <c r="A211" i="3"/>
  <c r="B211" i="3"/>
  <c r="C211" i="3"/>
  <c r="D211" i="3"/>
  <c r="E211" i="3"/>
  <c r="F277" i="3"/>
  <c r="D278" i="3"/>
  <c r="B279" i="3"/>
  <c r="A280" i="3"/>
  <c r="G280" i="3"/>
  <c r="F281" i="3"/>
  <c r="C282" i="3"/>
  <c r="F282" i="3"/>
  <c r="D283" i="3"/>
  <c r="B284" i="3"/>
  <c r="H284" i="3"/>
  <c r="F285" i="3"/>
  <c r="C286" i="3"/>
  <c r="F286" i="3"/>
  <c r="D287" i="3"/>
  <c r="B288" i="3"/>
  <c r="H288" i="3"/>
  <c r="F289" i="3"/>
  <c r="C290" i="3"/>
  <c r="F290" i="3"/>
  <c r="F291" i="3"/>
  <c r="D292" i="3"/>
  <c r="C293" i="3"/>
  <c r="F293" i="3"/>
  <c r="H294" i="3"/>
  <c r="F295" i="3"/>
  <c r="F296" i="3"/>
  <c r="C297" i="3"/>
  <c r="A298" i="3"/>
  <c r="G298" i="3"/>
  <c r="B299" i="3"/>
  <c r="H299" i="3"/>
  <c r="F300" i="3"/>
  <c r="A301" i="3"/>
  <c r="A302" i="3"/>
  <c r="G302" i="3"/>
  <c r="E303" i="3"/>
  <c r="D304" i="3"/>
  <c r="B305" i="3"/>
  <c r="E305" i="3"/>
  <c r="C306" i="3"/>
  <c r="G306" i="3"/>
  <c r="A307" i="3"/>
  <c r="F307" i="3"/>
  <c r="D308" i="3"/>
  <c r="C309" i="3"/>
  <c r="A310" i="3"/>
  <c r="G310" i="3"/>
  <c r="B311" i="3"/>
  <c r="H311" i="3"/>
  <c r="F312" i="3"/>
  <c r="D313" i="3"/>
  <c r="F313" i="3"/>
  <c r="D314" i="3"/>
  <c r="C315" i="3"/>
  <c r="H315" i="3"/>
  <c r="F316" i="3"/>
  <c r="D317" i="3"/>
  <c r="G317" i="3"/>
  <c r="F318" i="3"/>
  <c r="E319" i="3"/>
  <c r="F320" i="3"/>
  <c r="C321" i="3"/>
  <c r="A322" i="3"/>
  <c r="B323" i="3"/>
  <c r="H323" i="3"/>
  <c r="A325" i="3"/>
  <c r="B326" i="3"/>
  <c r="H326" i="3"/>
  <c r="A328" i="3"/>
  <c r="G267" i="3"/>
  <c r="H268" i="3"/>
  <c r="A270" i="3"/>
  <c r="B271" i="3"/>
  <c r="C272" i="3"/>
  <c r="D273" i="3"/>
  <c r="B274" i="3"/>
  <c r="B275" i="3"/>
  <c r="B276" i="3"/>
  <c r="C277" i="3"/>
  <c r="E278" i="3"/>
  <c r="G278" i="3"/>
  <c r="H279" i="3"/>
  <c r="A281" i="3"/>
  <c r="G281" i="3"/>
  <c r="E282" i="3"/>
  <c r="F283" i="3"/>
  <c r="G284" i="3"/>
  <c r="G285" i="3"/>
  <c r="E286" i="3"/>
  <c r="F287" i="3"/>
  <c r="D288" i="3"/>
  <c r="E289" i="3"/>
  <c r="G290" i="3"/>
  <c r="D291" i="3"/>
  <c r="E292" i="3"/>
  <c r="E293" i="3"/>
  <c r="G294" i="3"/>
  <c r="H295" i="3"/>
  <c r="D296" i="3"/>
  <c r="E297" i="3"/>
  <c r="C298" i="3"/>
  <c r="D299" i="3"/>
  <c r="B300" i="3"/>
  <c r="C301" i="3"/>
  <c r="C302" i="3"/>
  <c r="D303" i="3"/>
  <c r="E304" i="3"/>
  <c r="F305" i="3"/>
  <c r="F306" i="3"/>
  <c r="D307" i="3"/>
  <c r="E308" i="3"/>
  <c r="H309" i="3"/>
  <c r="E310" i="3"/>
  <c r="F311" i="3"/>
  <c r="G312" i="3"/>
  <c r="H313" i="3"/>
  <c r="A315" i="3"/>
  <c r="G315" i="3"/>
  <c r="E316" i="3"/>
  <c r="F317" i="3"/>
  <c r="G318" i="3"/>
  <c r="G319" i="3"/>
  <c r="B321" i="3"/>
  <c r="H321" i="3"/>
  <c r="F322" i="3"/>
  <c r="F323" i="3"/>
  <c r="H324" i="3"/>
  <c r="F325" i="3"/>
  <c r="D326" i="3"/>
  <c r="E327" i="3"/>
  <c r="E328" i="3"/>
  <c r="A329" i="3"/>
  <c r="D329" i="3"/>
  <c r="D330" i="3"/>
  <c r="A331" i="3"/>
  <c r="G331" i="3"/>
  <c r="E333" i="3"/>
  <c r="H333" i="3"/>
  <c r="G334" i="3"/>
  <c r="E335" i="3"/>
  <c r="C336" i="3"/>
  <c r="A337" i="3"/>
  <c r="C337" i="3"/>
  <c r="A338" i="3"/>
  <c r="F338" i="3"/>
  <c r="D339" i="3"/>
  <c r="B340" i="3"/>
  <c r="A341" i="3"/>
  <c r="E341" i="3"/>
  <c r="B342" i="3"/>
  <c r="A343" i="3"/>
  <c r="E343" i="3"/>
  <c r="B344" i="3"/>
  <c r="E344" i="3"/>
  <c r="G344" i="3"/>
  <c r="B345" i="3"/>
  <c r="E345" i="3"/>
  <c r="G345" i="3"/>
  <c r="A346" i="3"/>
  <c r="C346" i="3"/>
  <c r="D346" i="3"/>
  <c r="F346" i="3"/>
  <c r="A347" i="3"/>
  <c r="D76" i="3"/>
  <c r="E76" i="3"/>
  <c r="F76" i="3"/>
  <c r="G76" i="3"/>
  <c r="H76" i="3"/>
  <c r="A77" i="3"/>
  <c r="B77" i="3"/>
  <c r="C77" i="3"/>
  <c r="D77" i="3"/>
  <c r="E77" i="3"/>
  <c r="F77" i="3"/>
  <c r="G77" i="3"/>
  <c r="H77" i="3"/>
  <c r="A78" i="3"/>
  <c r="B78" i="3"/>
  <c r="C78" i="3"/>
  <c r="D78" i="3"/>
  <c r="E78" i="3"/>
  <c r="F78" i="3"/>
  <c r="G78" i="3"/>
  <c r="H78" i="3"/>
  <c r="A79" i="3"/>
  <c r="B79" i="3"/>
  <c r="C79" i="3"/>
  <c r="D79" i="3"/>
  <c r="E79" i="3"/>
  <c r="F79" i="3"/>
  <c r="G79" i="3"/>
  <c r="H79" i="3"/>
  <c r="A80" i="3"/>
  <c r="B80" i="3"/>
  <c r="C80" i="3"/>
  <c r="D80" i="3"/>
  <c r="E80" i="3"/>
  <c r="F80" i="3"/>
  <c r="G80" i="3"/>
  <c r="H80" i="3"/>
  <c r="A81" i="3"/>
  <c r="B81" i="3"/>
  <c r="C81" i="3"/>
  <c r="D81" i="3"/>
  <c r="E81" i="3"/>
  <c r="F81" i="3"/>
  <c r="G81" i="3"/>
  <c r="H81" i="3"/>
  <c r="A82" i="3"/>
  <c r="B82" i="3"/>
  <c r="C82" i="3"/>
  <c r="D82" i="3"/>
  <c r="E82" i="3"/>
  <c r="F82" i="3"/>
  <c r="G82" i="3"/>
  <c r="H82" i="3"/>
  <c r="A83" i="3"/>
  <c r="B83" i="3"/>
  <c r="C83" i="3"/>
  <c r="D83" i="3"/>
  <c r="E83" i="3"/>
  <c r="F83" i="3"/>
  <c r="G83" i="3"/>
  <c r="H83" i="3"/>
  <c r="A84" i="3"/>
  <c r="B84" i="3"/>
  <c r="C84" i="3"/>
  <c r="D84" i="3"/>
  <c r="E84" i="3"/>
  <c r="F84" i="3"/>
  <c r="G84" i="3"/>
  <c r="H84" i="3"/>
  <c r="A85" i="3"/>
  <c r="B85" i="3"/>
  <c r="C85" i="3"/>
  <c r="D85" i="3"/>
  <c r="E85" i="3"/>
  <c r="F85" i="3"/>
  <c r="G85" i="3"/>
  <c r="H85" i="3"/>
  <c r="A86" i="3"/>
  <c r="B86" i="3"/>
  <c r="C86" i="3"/>
  <c r="D86" i="3"/>
  <c r="E86" i="3"/>
  <c r="F86" i="3"/>
  <c r="G86" i="3"/>
  <c r="H86" i="3"/>
  <c r="F211" i="3"/>
  <c r="G211" i="3"/>
  <c r="H211" i="3"/>
  <c r="A212" i="3"/>
  <c r="B212" i="3"/>
  <c r="C212" i="3"/>
  <c r="D212" i="3"/>
  <c r="E212" i="3"/>
  <c r="F212" i="3"/>
  <c r="G212" i="3"/>
  <c r="H212" i="3"/>
  <c r="A213" i="3"/>
  <c r="B213" i="3"/>
  <c r="C213" i="3"/>
  <c r="D213" i="3"/>
  <c r="E213" i="3"/>
  <c r="F213" i="3"/>
  <c r="G213" i="3"/>
  <c r="H213" i="3"/>
  <c r="A214" i="3"/>
  <c r="B214" i="3"/>
  <c r="C214" i="3"/>
  <c r="D214" i="3"/>
  <c r="E214" i="3"/>
  <c r="F214" i="3"/>
  <c r="G214" i="3"/>
  <c r="H214" i="3"/>
  <c r="A215" i="3"/>
  <c r="B215" i="3"/>
  <c r="C215" i="3"/>
  <c r="D215" i="3"/>
  <c r="E215" i="3"/>
  <c r="F215" i="3"/>
  <c r="G215" i="3"/>
  <c r="H215" i="3"/>
  <c r="A216" i="3"/>
  <c r="B216" i="3"/>
  <c r="C216" i="3"/>
  <c r="D216" i="3"/>
  <c r="E216" i="3"/>
  <c r="F216" i="3"/>
  <c r="G216" i="3"/>
  <c r="H216" i="3"/>
  <c r="A217" i="3"/>
  <c r="B217" i="3"/>
  <c r="C217" i="3"/>
  <c r="D217" i="3"/>
  <c r="E217" i="3"/>
  <c r="F217" i="3"/>
  <c r="G217" i="3"/>
  <c r="H217" i="3"/>
  <c r="A218" i="3"/>
  <c r="B218" i="3"/>
  <c r="C218" i="3"/>
  <c r="D218" i="3"/>
  <c r="E218" i="3"/>
  <c r="F218" i="3"/>
  <c r="G218" i="3"/>
  <c r="H218" i="3"/>
  <c r="A219" i="3"/>
  <c r="B219" i="3"/>
  <c r="C219" i="3"/>
  <c r="D219" i="3"/>
  <c r="E219" i="3"/>
  <c r="F219" i="3"/>
  <c r="G219" i="3"/>
  <c r="H219" i="3"/>
  <c r="A220" i="3"/>
  <c r="B220" i="3"/>
  <c r="C220" i="3"/>
  <c r="D220" i="3"/>
  <c r="E220" i="3"/>
  <c r="F220" i="3"/>
  <c r="G220" i="3"/>
  <c r="H220" i="3"/>
  <c r="A221" i="3"/>
  <c r="B221" i="3"/>
  <c r="C221" i="3"/>
  <c r="D221" i="3"/>
  <c r="E221" i="3"/>
  <c r="F221" i="3"/>
  <c r="G221" i="3"/>
  <c r="H221" i="3"/>
  <c r="A222" i="3"/>
  <c r="B222" i="3"/>
  <c r="C222" i="3"/>
  <c r="D222" i="3"/>
  <c r="E222" i="3"/>
  <c r="F222" i="3"/>
  <c r="G222" i="3"/>
  <c r="H222" i="3"/>
  <c r="A223" i="3"/>
  <c r="B223" i="3"/>
  <c r="C223" i="3"/>
  <c r="D223" i="3"/>
  <c r="E223" i="3"/>
  <c r="F223" i="3"/>
  <c r="G223" i="3"/>
  <c r="H223" i="3"/>
  <c r="A224" i="3"/>
  <c r="B224" i="3"/>
  <c r="C224" i="3"/>
  <c r="D224" i="3"/>
  <c r="E224" i="3"/>
  <c r="F224" i="3"/>
  <c r="G224" i="3"/>
  <c r="H224" i="3"/>
  <c r="A225" i="3"/>
  <c r="B225" i="3"/>
  <c r="C225" i="3"/>
  <c r="D225" i="3"/>
  <c r="E225" i="3"/>
  <c r="F225" i="3"/>
  <c r="G225" i="3"/>
  <c r="H225" i="3"/>
  <c r="A226" i="3"/>
  <c r="B226" i="3"/>
  <c r="C226" i="3"/>
  <c r="D226" i="3"/>
  <c r="E226" i="3"/>
  <c r="F226" i="3"/>
  <c r="G226" i="3"/>
  <c r="H226" i="3"/>
  <c r="A227" i="3"/>
  <c r="B227" i="3"/>
  <c r="C227" i="3"/>
  <c r="D227" i="3"/>
  <c r="E227" i="3"/>
  <c r="F227" i="3"/>
  <c r="G227" i="3"/>
  <c r="H227" i="3"/>
  <c r="A228" i="3"/>
  <c r="B228" i="3"/>
  <c r="C228" i="3"/>
  <c r="D228" i="3"/>
  <c r="E228" i="3"/>
  <c r="F228" i="3"/>
  <c r="G228" i="3"/>
  <c r="H228" i="3"/>
  <c r="A229" i="3"/>
  <c r="B229" i="3"/>
  <c r="C229" i="3"/>
  <c r="D229" i="3"/>
  <c r="E229" i="3"/>
  <c r="F229" i="3"/>
  <c r="A87" i="3"/>
  <c r="H229" i="3"/>
  <c r="A230" i="3"/>
  <c r="B230" i="3"/>
  <c r="C230" i="3"/>
  <c r="D230" i="3"/>
  <c r="E230" i="3"/>
  <c r="F230" i="3"/>
  <c r="G230" i="3"/>
  <c r="H230" i="3"/>
  <c r="A231" i="3"/>
  <c r="B231" i="3"/>
  <c r="C231" i="3"/>
  <c r="D231" i="3"/>
  <c r="E231" i="3"/>
  <c r="F231" i="3"/>
  <c r="G231" i="3"/>
  <c r="H231" i="3"/>
  <c r="A232" i="3"/>
  <c r="B232" i="3"/>
  <c r="C232" i="3"/>
  <c r="D232" i="3"/>
  <c r="E232" i="3"/>
  <c r="F232" i="3"/>
  <c r="G232" i="3"/>
  <c r="H232" i="3"/>
  <c r="A233" i="3"/>
  <c r="B233" i="3"/>
  <c r="C233" i="3"/>
  <c r="D233" i="3"/>
  <c r="E233" i="3"/>
  <c r="F233" i="3"/>
  <c r="G233" i="3"/>
  <c r="H233" i="3"/>
  <c r="A234" i="3"/>
  <c r="B234" i="3"/>
  <c r="C234" i="3"/>
  <c r="D234" i="3"/>
  <c r="E234" i="3"/>
  <c r="F234" i="3"/>
  <c r="G234" i="3"/>
  <c r="H234" i="3"/>
  <c r="A235" i="3"/>
  <c r="B235" i="3"/>
  <c r="C235" i="3"/>
  <c r="D235" i="3"/>
  <c r="E235" i="3"/>
  <c r="F235" i="3"/>
  <c r="G235" i="3"/>
  <c r="H235" i="3"/>
  <c r="A236" i="3"/>
  <c r="B236" i="3"/>
  <c r="C236" i="3"/>
  <c r="D236" i="3"/>
  <c r="E236" i="3"/>
  <c r="F236" i="3"/>
  <c r="G236" i="3"/>
  <c r="H236" i="3"/>
  <c r="A237" i="3"/>
  <c r="B237" i="3"/>
  <c r="C237" i="3"/>
  <c r="D237" i="3"/>
  <c r="E237" i="3"/>
  <c r="F237" i="3"/>
  <c r="G237" i="3"/>
  <c r="H237" i="3"/>
  <c r="A238" i="3"/>
  <c r="B238" i="3"/>
  <c r="C238" i="3"/>
  <c r="D238" i="3"/>
  <c r="E238" i="3"/>
  <c r="F238" i="3"/>
  <c r="G238" i="3"/>
  <c r="H238" i="3"/>
  <c r="A239" i="3"/>
  <c r="B239" i="3"/>
  <c r="C239" i="3"/>
  <c r="D239" i="3"/>
  <c r="E239" i="3"/>
  <c r="F239" i="3"/>
  <c r="G239" i="3"/>
  <c r="H239" i="3"/>
  <c r="A240" i="3"/>
  <c r="B240" i="3"/>
  <c r="C240" i="3"/>
  <c r="D240" i="3"/>
  <c r="E240" i="3"/>
  <c r="F240" i="3"/>
  <c r="G240" i="3"/>
  <c r="H240" i="3"/>
  <c r="A241" i="3"/>
  <c r="B241" i="3"/>
  <c r="C241" i="3"/>
  <c r="D241" i="3"/>
  <c r="E241" i="3"/>
  <c r="F241" i="3"/>
  <c r="G241" i="3"/>
  <c r="H241" i="3"/>
  <c r="A242" i="3"/>
  <c r="B242" i="3"/>
  <c r="C242" i="3"/>
  <c r="D242" i="3"/>
  <c r="E242" i="3"/>
  <c r="F242" i="3"/>
  <c r="G242" i="3"/>
  <c r="H242" i="3"/>
  <c r="A243" i="3"/>
  <c r="B243" i="3"/>
  <c r="C243" i="3"/>
  <c r="D243" i="3"/>
  <c r="E243" i="3"/>
  <c r="F243" i="3"/>
  <c r="G243" i="3"/>
  <c r="H243" i="3"/>
  <c r="A244" i="3"/>
  <c r="B244" i="3"/>
  <c r="C244" i="3"/>
  <c r="D244" i="3"/>
  <c r="E244" i="3"/>
  <c r="F244" i="3"/>
  <c r="G244" i="3"/>
  <c r="H244" i="3"/>
  <c r="A245" i="3"/>
  <c r="B245" i="3"/>
  <c r="C245" i="3"/>
  <c r="D245" i="3"/>
  <c r="E245" i="3"/>
  <c r="F245" i="3"/>
  <c r="G245" i="3"/>
  <c r="H245" i="3"/>
  <c r="A246" i="3"/>
  <c r="B246" i="3"/>
  <c r="C246" i="3"/>
  <c r="D246" i="3"/>
  <c r="E246" i="3"/>
  <c r="F246" i="3"/>
  <c r="G246" i="3"/>
  <c r="H246" i="3"/>
  <c r="A247" i="3"/>
  <c r="B247" i="3"/>
  <c r="C247" i="3"/>
  <c r="D247" i="3"/>
  <c r="E247" i="3"/>
  <c r="F247" i="3"/>
  <c r="G247" i="3"/>
  <c r="H247" i="3"/>
  <c r="A248" i="3"/>
  <c r="B248" i="3"/>
  <c r="C248" i="3"/>
  <c r="D248" i="3"/>
  <c r="E248" i="3"/>
  <c r="F248" i="3"/>
  <c r="G248" i="3"/>
  <c r="H248" i="3"/>
  <c r="A249" i="3"/>
  <c r="B249" i="3"/>
  <c r="C249" i="3"/>
  <c r="D249" i="3"/>
  <c r="E249" i="3"/>
  <c r="F249" i="3"/>
  <c r="G249" i="3"/>
  <c r="H249" i="3"/>
  <c r="A250" i="3"/>
  <c r="B250" i="3"/>
  <c r="C250" i="3"/>
  <c r="D250" i="3"/>
  <c r="E250" i="3"/>
  <c r="F250" i="3"/>
  <c r="G250" i="3"/>
  <c r="H250" i="3"/>
  <c r="A251" i="3"/>
  <c r="B251" i="3"/>
  <c r="C251" i="3"/>
  <c r="D251" i="3"/>
  <c r="E251" i="3"/>
  <c r="F251" i="3"/>
  <c r="G251" i="3"/>
  <c r="H251" i="3"/>
  <c r="A252" i="3"/>
  <c r="B252" i="3"/>
  <c r="C252" i="3"/>
  <c r="D252" i="3"/>
  <c r="E252" i="3"/>
  <c r="F252" i="3"/>
  <c r="G252" i="3"/>
  <c r="H252" i="3"/>
  <c r="A253" i="3"/>
  <c r="B253" i="3"/>
  <c r="C253" i="3"/>
  <c r="D253" i="3"/>
  <c r="E253" i="3"/>
  <c r="F253" i="3"/>
  <c r="G253" i="3"/>
  <c r="H253" i="3"/>
  <c r="A254" i="3"/>
  <c r="B254" i="3"/>
  <c r="C254" i="3"/>
  <c r="D254" i="3"/>
  <c r="E254" i="3"/>
  <c r="F254" i="3"/>
  <c r="G254" i="3"/>
  <c r="H254" i="3"/>
  <c r="A255" i="3"/>
  <c r="B255" i="3"/>
  <c r="C255" i="3"/>
  <c r="D255" i="3"/>
  <c r="E255" i="3"/>
  <c r="F255" i="3"/>
  <c r="G255" i="3"/>
  <c r="H255" i="3"/>
  <c r="A256" i="3"/>
  <c r="B256" i="3"/>
  <c r="C256" i="3"/>
  <c r="D256" i="3"/>
  <c r="E256" i="3"/>
  <c r="F256" i="3"/>
  <c r="G256" i="3"/>
  <c r="H256" i="3"/>
  <c r="A257" i="3"/>
  <c r="B257" i="3"/>
  <c r="C257" i="3"/>
  <c r="D257" i="3"/>
  <c r="E257" i="3"/>
  <c r="F257" i="3"/>
  <c r="G257" i="3"/>
  <c r="H257" i="3"/>
  <c r="A258" i="3"/>
  <c r="B258" i="3"/>
  <c r="C258" i="3"/>
  <c r="D258" i="3"/>
  <c r="E258" i="3"/>
  <c r="F258" i="3"/>
  <c r="G258" i="3"/>
  <c r="H258" i="3"/>
  <c r="A259" i="3"/>
  <c r="B259" i="3"/>
  <c r="C259" i="3"/>
  <c r="D259" i="3"/>
  <c r="E259" i="3"/>
  <c r="F259" i="3"/>
  <c r="G259" i="3"/>
  <c r="H259" i="3"/>
  <c r="A260" i="3"/>
  <c r="B260" i="3"/>
  <c r="C260" i="3"/>
  <c r="D260" i="3"/>
  <c r="E260" i="3"/>
  <c r="F260" i="3"/>
  <c r="G260" i="3"/>
  <c r="H260" i="3"/>
  <c r="A261" i="3"/>
  <c r="B261" i="3"/>
  <c r="C261" i="3"/>
  <c r="D261" i="3"/>
  <c r="E261" i="3"/>
  <c r="F261" i="3"/>
  <c r="G261" i="3"/>
  <c r="H261" i="3"/>
  <c r="A262" i="3"/>
  <c r="B262" i="3"/>
  <c r="C262" i="3"/>
  <c r="D262" i="3"/>
  <c r="E262" i="3"/>
  <c r="F262" i="3"/>
  <c r="G262" i="3"/>
  <c r="H262" i="3"/>
  <c r="A263" i="3"/>
  <c r="B263" i="3"/>
  <c r="C263" i="3"/>
  <c r="D263" i="3"/>
  <c r="E263" i="3"/>
  <c r="F263" i="3"/>
  <c r="G263" i="3"/>
  <c r="H263" i="3"/>
  <c r="A264" i="3"/>
  <c r="B264" i="3"/>
  <c r="C264" i="3"/>
  <c r="D264" i="3"/>
  <c r="E264" i="3"/>
  <c r="F264" i="3"/>
  <c r="G264" i="3"/>
  <c r="H264" i="3"/>
  <c r="A265" i="3"/>
  <c r="B265" i="3"/>
  <c r="C265" i="3"/>
  <c r="D265" i="3"/>
  <c r="E265" i="3"/>
  <c r="F265" i="3"/>
  <c r="G265" i="3"/>
  <c r="H265" i="3"/>
  <c r="A266" i="3"/>
  <c r="B266" i="3"/>
  <c r="C266" i="3"/>
  <c r="D266" i="3"/>
  <c r="E266" i="3"/>
  <c r="F266" i="3"/>
  <c r="G266" i="3"/>
  <c r="H266" i="3"/>
  <c r="A267" i="3"/>
  <c r="B267" i="3"/>
  <c r="C267" i="3"/>
  <c r="D267" i="3"/>
  <c r="E267" i="3"/>
  <c r="F267" i="3"/>
  <c r="A268" i="3"/>
  <c r="D268" i="3"/>
  <c r="G268" i="3"/>
  <c r="A269" i="3"/>
  <c r="D269" i="3"/>
  <c r="G269" i="3"/>
  <c r="B270" i="3"/>
  <c r="E270" i="3"/>
  <c r="H270" i="3"/>
  <c r="C271" i="3"/>
  <c r="F271" i="3"/>
  <c r="A272" i="3"/>
  <c r="E272" i="3"/>
  <c r="A273" i="3"/>
  <c r="C273" i="3"/>
  <c r="F273" i="3"/>
  <c r="A274" i="3"/>
  <c r="E274" i="3"/>
  <c r="A275" i="3"/>
  <c r="E275" i="3"/>
  <c r="H275" i="3"/>
  <c r="C276" i="3"/>
  <c r="F276" i="3"/>
  <c r="A277" i="3"/>
  <c r="D277" i="3"/>
  <c r="A278" i="3"/>
  <c r="H278" i="3"/>
  <c r="E279" i="3"/>
  <c r="D280" i="3"/>
  <c r="B281" i="3"/>
  <c r="H281" i="3"/>
  <c r="A283" i="3"/>
  <c r="G283" i="3"/>
  <c r="E284" i="3"/>
  <c r="C285" i="3"/>
  <c r="H285" i="3"/>
  <c r="A287" i="3"/>
  <c r="G287" i="3"/>
  <c r="E288" i="3"/>
  <c r="C289" i="3"/>
  <c r="A290" i="3"/>
  <c r="B291" i="3"/>
  <c r="A292" i="3"/>
  <c r="G292" i="3"/>
  <c r="B294" i="3"/>
  <c r="E294" i="3"/>
  <c r="C295" i="3"/>
  <c r="C296" i="3"/>
  <c r="H296" i="3"/>
  <c r="F297" i="3"/>
  <c r="D298" i="3"/>
  <c r="E299" i="3"/>
  <c r="C300" i="3"/>
  <c r="E301" i="3"/>
  <c r="D302" i="3"/>
  <c r="B303" i="3"/>
  <c r="H303" i="3"/>
  <c r="G304" i="3"/>
  <c r="H305" i="3"/>
  <c r="A308" i="3"/>
  <c r="A309" i="3"/>
  <c r="F309" i="3"/>
  <c r="D310" i="3"/>
  <c r="E311" i="3"/>
  <c r="C312" i="3"/>
  <c r="A313" i="3"/>
  <c r="A314" i="3"/>
  <c r="G314" i="3"/>
  <c r="F315" i="3"/>
  <c r="C316" i="3"/>
  <c r="A317" i="3"/>
  <c r="C318" i="3"/>
  <c r="B319" i="3"/>
  <c r="C320" i="3"/>
  <c r="H320" i="3"/>
  <c r="D322" i="3"/>
  <c r="E323" i="3"/>
  <c r="F324" i="3"/>
  <c r="G325" i="3"/>
  <c r="C327" i="3"/>
  <c r="E329" i="3"/>
  <c r="E268" i="3"/>
  <c r="F269" i="3"/>
  <c r="G270" i="3"/>
  <c r="H271" i="3"/>
  <c r="H272" i="3"/>
  <c r="D274" i="3"/>
  <c r="G275" i="3"/>
  <c r="H276" i="3"/>
  <c r="B278" i="3"/>
  <c r="C279" i="3"/>
  <c r="C280" i="3"/>
  <c r="D281" i="3"/>
  <c r="C283" i="3"/>
  <c r="D284" i="3"/>
  <c r="D285" i="3"/>
  <c r="B286" i="3"/>
  <c r="C287" i="3"/>
  <c r="A288" i="3"/>
  <c r="B289" i="3"/>
  <c r="D290" i="3"/>
  <c r="G291" i="3"/>
  <c r="H292" i="3"/>
  <c r="H293" i="3"/>
  <c r="B295" i="3"/>
  <c r="B296" i="3"/>
  <c r="B297" i="3"/>
  <c r="F298" i="3"/>
  <c r="G299" i="3"/>
  <c r="H300" i="3"/>
  <c r="H301" i="3"/>
  <c r="A303" i="3"/>
  <c r="B304" i="3"/>
  <c r="C305" i="3"/>
  <c r="D306" i="3"/>
  <c r="G307" i="3"/>
  <c r="H308" i="3"/>
  <c r="C310" i="3"/>
  <c r="C311" i="3"/>
  <c r="D312" i="3"/>
  <c r="E313" i="3"/>
  <c r="F314" i="3"/>
  <c r="B316" i="3"/>
  <c r="C317" i="3"/>
  <c r="D318" i="3"/>
  <c r="D319" i="3"/>
  <c r="E320" i="3"/>
  <c r="C322" i="3"/>
  <c r="D323" i="3"/>
  <c r="E324" i="3"/>
  <c r="A326" i="3"/>
  <c r="B327" i="3"/>
  <c r="C328" i="3"/>
  <c r="H328" i="3"/>
  <c r="C329" i="3"/>
  <c r="G329" i="3"/>
  <c r="A330" i="3"/>
  <c r="C330" i="3"/>
  <c r="G330" i="3"/>
  <c r="E331" i="3"/>
  <c r="C333" i="3"/>
  <c r="B334" i="3"/>
  <c r="A335" i="3"/>
  <c r="G335" i="3"/>
  <c r="F336" i="3"/>
  <c r="E337" i="3"/>
  <c r="C338" i="3"/>
  <c r="H338" i="3"/>
  <c r="F339" i="3"/>
  <c r="G340" i="3"/>
  <c r="F341" i="3"/>
  <c r="D342" i="3"/>
  <c r="C343" i="3"/>
  <c r="A344" i="3"/>
  <c r="D344" i="3"/>
  <c r="H344" i="3"/>
  <c r="C345" i="3"/>
  <c r="F345" i="3"/>
  <c r="H345" i="3"/>
  <c r="B346" i="3"/>
  <c r="E346" i="3"/>
  <c r="G346" i="3"/>
  <c r="B87" i="3"/>
  <c r="F391" i="3"/>
  <c r="C87" i="3"/>
  <c r="D87" i="3"/>
  <c r="E87" i="3"/>
  <c r="F87" i="3"/>
  <c r="G87" i="3"/>
  <c r="H87" i="3"/>
  <c r="A88" i="3"/>
  <c r="B88" i="3"/>
  <c r="C88" i="3"/>
  <c r="D88" i="3"/>
  <c r="E88" i="3"/>
  <c r="F88" i="3"/>
  <c r="G88" i="3"/>
  <c r="H88" i="3"/>
  <c r="A89" i="3"/>
  <c r="B89" i="3"/>
  <c r="C89" i="3"/>
  <c r="D89" i="3"/>
  <c r="E89" i="3"/>
  <c r="F89" i="3"/>
  <c r="G89" i="3"/>
  <c r="H89" i="3"/>
  <c r="A90" i="3"/>
  <c r="B90" i="3"/>
  <c r="C90" i="3"/>
  <c r="D90" i="3"/>
  <c r="E90" i="3"/>
  <c r="F90" i="3"/>
  <c r="G90" i="3"/>
  <c r="H90" i="3"/>
  <c r="A91" i="3"/>
  <c r="B91" i="3"/>
  <c r="C91" i="3"/>
  <c r="D91" i="3"/>
  <c r="E91" i="3"/>
  <c r="F91" i="3"/>
  <c r="G91" i="3"/>
  <c r="H91" i="3"/>
  <c r="A92" i="3"/>
  <c r="B92" i="3"/>
  <c r="C92" i="3"/>
  <c r="D92" i="3"/>
  <c r="E92" i="3"/>
  <c r="F92" i="3"/>
  <c r="G92" i="3"/>
  <c r="H92" i="3"/>
  <c r="A93" i="3"/>
  <c r="B93" i="3"/>
  <c r="C93" i="3"/>
  <c r="D93" i="3"/>
  <c r="E93" i="3"/>
  <c r="F93" i="3"/>
  <c r="G93" i="3"/>
  <c r="H93" i="3"/>
  <c r="A94" i="3"/>
  <c r="B94" i="3"/>
  <c r="C94" i="3"/>
  <c r="D94" i="3"/>
  <c r="E94" i="3"/>
  <c r="F94" i="3"/>
  <c r="G94" i="3"/>
  <c r="H94" i="3"/>
  <c r="A95" i="3"/>
  <c r="B95" i="3"/>
  <c r="C95" i="3"/>
  <c r="D95" i="3"/>
  <c r="E95" i="3"/>
  <c r="F95" i="3"/>
  <c r="G95" i="3"/>
  <c r="H95" i="3"/>
  <c r="A96" i="3"/>
  <c r="B96" i="3"/>
  <c r="C96" i="3"/>
  <c r="D96" i="3"/>
  <c r="E96" i="3"/>
  <c r="F96" i="3"/>
  <c r="G96" i="3"/>
  <c r="H96" i="3"/>
  <c r="A97" i="3"/>
  <c r="B97" i="3"/>
  <c r="F308" i="3"/>
  <c r="H319" i="3"/>
  <c r="F321" i="3"/>
  <c r="G322" i="3"/>
  <c r="C324" i="3"/>
  <c r="D325" i="3"/>
  <c r="E326" i="3"/>
  <c r="F327" i="3"/>
  <c r="B268" i="3"/>
  <c r="C269" i="3"/>
  <c r="D270" i="3"/>
  <c r="E271" i="3"/>
  <c r="F272" i="3"/>
  <c r="G273" i="3"/>
  <c r="G274" i="3"/>
  <c r="D275" i="3"/>
  <c r="E276" i="3"/>
  <c r="G277" i="3"/>
  <c r="F279" i="3"/>
  <c r="F280" i="3"/>
  <c r="B282" i="3"/>
  <c r="H282" i="3"/>
  <c r="A284" i="3"/>
  <c r="B285" i="3"/>
  <c r="A286" i="3"/>
  <c r="H286" i="3"/>
  <c r="G288" i="3"/>
  <c r="H289" i="3"/>
  <c r="A291" i="3"/>
  <c r="B292" i="3"/>
  <c r="B293" i="3"/>
  <c r="C294" i="3"/>
  <c r="E295" i="3"/>
  <c r="G296" i="3"/>
  <c r="H297" i="3"/>
  <c r="A299" i="3"/>
  <c r="E300" i="3"/>
  <c r="F301" i="3"/>
  <c r="F302" i="3"/>
  <c r="G303" i="3"/>
  <c r="H304" i="3"/>
  <c r="A306" i="3"/>
  <c r="B307" i="3"/>
  <c r="B308" i="3"/>
  <c r="E309" i="3"/>
  <c r="H310" i="3"/>
  <c r="A312" i="3"/>
  <c r="B313" i="3"/>
  <c r="C314" i="3"/>
  <c r="D315" i="3"/>
  <c r="H316" i="3"/>
  <c r="A318" i="3"/>
  <c r="A319" i="3"/>
  <c r="B320" i="3"/>
  <c r="E321" i="3"/>
  <c r="A323" i="3"/>
  <c r="B324" i="3"/>
  <c r="C325" i="3"/>
  <c r="G326" i="3"/>
  <c r="H327" i="3"/>
  <c r="G328" i="3"/>
  <c r="B329" i="3"/>
  <c r="F329" i="3"/>
  <c r="H329" i="3"/>
  <c r="B330" i="3"/>
  <c r="E330" i="3"/>
  <c r="C331" i="3"/>
  <c r="A333" i="3"/>
  <c r="F333" i="3"/>
  <c r="D334" i="3"/>
  <c r="C335" i="3"/>
  <c r="A336" i="3"/>
  <c r="E336" i="3"/>
  <c r="G337" i="3"/>
  <c r="D338" i="3"/>
  <c r="B339" i="3"/>
  <c r="H339" i="3"/>
  <c r="D340" i="3"/>
  <c r="C341" i="3"/>
  <c r="H341" i="3"/>
  <c r="G342" i="3"/>
  <c r="G343" i="3"/>
  <c r="C344" i="3"/>
  <c r="F344" i="3"/>
  <c r="A345" i="3"/>
  <c r="D345" i="3"/>
  <c r="H346" i="3"/>
  <c r="C97" i="3"/>
  <c r="D97" i="3"/>
  <c r="E97" i="3"/>
  <c r="F97" i="3"/>
  <c r="G97" i="3"/>
  <c r="H97" i="3"/>
  <c r="A98" i="3"/>
  <c r="B98" i="3"/>
  <c r="C98" i="3"/>
  <c r="D98" i="3"/>
  <c r="E98" i="3"/>
  <c r="F98" i="3"/>
  <c r="G98" i="3"/>
  <c r="H98" i="3"/>
  <c r="A99" i="3"/>
  <c r="B99" i="3"/>
  <c r="C99" i="3"/>
  <c r="D99" i="3"/>
  <c r="E99" i="3"/>
  <c r="F99" i="3"/>
  <c r="G99" i="3"/>
  <c r="H99" i="3"/>
  <c r="A100" i="3"/>
  <c r="B100" i="3"/>
  <c r="C100" i="3"/>
  <c r="D100" i="3"/>
  <c r="E100" i="3"/>
  <c r="F100" i="3"/>
  <c r="G100" i="3"/>
  <c r="H100" i="3"/>
  <c r="A101" i="3"/>
  <c r="B101" i="3"/>
  <c r="C101" i="3"/>
  <c r="D101" i="3"/>
  <c r="E101" i="3"/>
  <c r="F101" i="3"/>
  <c r="G101" i="3"/>
  <c r="H101" i="3"/>
  <c r="A102" i="3"/>
  <c r="B102" i="3"/>
  <c r="C102" i="3"/>
  <c r="D102" i="3"/>
  <c r="E102" i="3"/>
  <c r="F102" i="3"/>
  <c r="G102" i="3"/>
  <c r="H102" i="3"/>
  <c r="A103" i="3"/>
  <c r="B103" i="3"/>
  <c r="C103" i="3"/>
  <c r="D103" i="3"/>
  <c r="E103" i="3"/>
  <c r="F103" i="3"/>
  <c r="G103" i="3"/>
  <c r="H103" i="3"/>
  <c r="A104" i="3"/>
  <c r="B104" i="3"/>
  <c r="C104" i="3"/>
  <c r="D104" i="3"/>
  <c r="E104" i="3"/>
  <c r="F104" i="3"/>
  <c r="G104" i="3"/>
  <c r="H104" i="3"/>
  <c r="A105" i="3"/>
  <c r="B105" i="3"/>
  <c r="C105" i="3"/>
  <c r="D105" i="3"/>
  <c r="E105" i="3"/>
  <c r="F105" i="3"/>
  <c r="G105" i="3"/>
  <c r="H105" i="3"/>
  <c r="A106" i="3"/>
  <c r="B106" i="3"/>
  <c r="C106" i="3"/>
  <c r="D106" i="3"/>
  <c r="E106" i="3"/>
  <c r="F106" i="3"/>
  <c r="G106" i="3"/>
  <c r="H106" i="3"/>
  <c r="A107" i="3"/>
  <c r="B107" i="3"/>
  <c r="C107" i="3"/>
  <c r="D107" i="3"/>
  <c r="E107" i="3"/>
  <c r="F107" i="3"/>
  <c r="G107" i="3"/>
  <c r="H107" i="3"/>
  <c r="A108" i="3"/>
  <c r="B108" i="3"/>
  <c r="C108" i="3"/>
  <c r="D108" i="3"/>
  <c r="E108" i="3"/>
  <c r="F108" i="3"/>
  <c r="G108" i="3"/>
  <c r="H108" i="3"/>
  <c r="A109" i="3"/>
  <c r="B109" i="3"/>
  <c r="C109" i="3"/>
  <c r="D109" i="3"/>
  <c r="E109" i="3"/>
  <c r="F109" i="3"/>
  <c r="G109" i="3"/>
  <c r="H109" i="3"/>
  <c r="A110" i="3"/>
  <c r="B110" i="3"/>
  <c r="C110" i="3"/>
  <c r="D110" i="3"/>
  <c r="E110" i="3"/>
  <c r="F110" i="3"/>
  <c r="G110" i="3"/>
  <c r="H110" i="3"/>
  <c r="A111" i="3"/>
  <c r="B111" i="3"/>
  <c r="C111" i="3"/>
  <c r="G368" i="3"/>
  <c r="H368" i="3"/>
  <c r="A369" i="3"/>
  <c r="B369" i="3"/>
  <c r="C369" i="3"/>
  <c r="D369" i="3"/>
  <c r="E369" i="3"/>
  <c r="F369" i="3"/>
  <c r="G369" i="3"/>
  <c r="H369" i="3"/>
  <c r="A370" i="3"/>
  <c r="B370" i="3"/>
  <c r="C370" i="3"/>
  <c r="D370" i="3"/>
  <c r="E370" i="3"/>
  <c r="F370" i="3"/>
  <c r="G370" i="3"/>
  <c r="H370" i="3"/>
  <c r="A371" i="3"/>
  <c r="B371" i="3"/>
  <c r="C371" i="3"/>
  <c r="D371" i="3"/>
  <c r="E371" i="3"/>
  <c r="F371" i="3"/>
  <c r="G371" i="3"/>
  <c r="H371" i="3"/>
  <c r="A372" i="3"/>
  <c r="B372" i="3"/>
  <c r="C372" i="3"/>
  <c r="D372" i="3"/>
  <c r="E372" i="3"/>
  <c r="F372" i="3"/>
  <c r="G372" i="3"/>
  <c r="H372" i="3"/>
  <c r="A373" i="3"/>
  <c r="B373" i="3"/>
  <c r="C373" i="3"/>
  <c r="D373" i="3"/>
  <c r="E373" i="3"/>
  <c r="F373" i="3"/>
  <c r="G373" i="3"/>
  <c r="H373" i="3"/>
  <c r="A374" i="3"/>
  <c r="B374" i="3"/>
  <c r="C374" i="3"/>
  <c r="D374" i="3"/>
  <c r="E374" i="3"/>
  <c r="F374" i="3"/>
  <c r="G374" i="3"/>
  <c r="H374" i="3"/>
  <c r="A375" i="3"/>
  <c r="B375" i="3"/>
  <c r="C375" i="3"/>
  <c r="D375" i="3"/>
  <c r="E375" i="3"/>
  <c r="F375" i="3"/>
  <c r="G375" i="3"/>
  <c r="H375" i="3"/>
  <c r="A376" i="3"/>
  <c r="B376" i="3"/>
  <c r="C376" i="3"/>
  <c r="D376" i="3"/>
  <c r="E376" i="3"/>
  <c r="F376" i="3"/>
  <c r="G376" i="3"/>
  <c r="H376" i="3"/>
  <c r="A377" i="3"/>
  <c r="B377" i="3"/>
  <c r="C377" i="3"/>
  <c r="D377" i="3"/>
  <c r="E377" i="3"/>
  <c r="F377" i="3"/>
  <c r="G377" i="3"/>
  <c r="H377" i="3"/>
  <c r="A378" i="3"/>
  <c r="B378" i="3"/>
  <c r="C378" i="3"/>
  <c r="D378" i="3"/>
  <c r="E378" i="3"/>
  <c r="F378" i="3"/>
  <c r="G378" i="3"/>
  <c r="H378" i="3"/>
  <c r="A379" i="3"/>
  <c r="B379" i="3"/>
  <c r="C379" i="3"/>
  <c r="D379" i="3"/>
  <c r="E379" i="3"/>
  <c r="F379" i="3"/>
  <c r="G379" i="3"/>
  <c r="H379" i="3"/>
  <c r="A380" i="3"/>
  <c r="B380" i="3"/>
  <c r="C380" i="3"/>
  <c r="D380" i="3"/>
  <c r="E380" i="3"/>
  <c r="F380" i="3"/>
  <c r="G380" i="3"/>
  <c r="H380" i="3"/>
  <c r="A381" i="3"/>
  <c r="B381" i="3"/>
  <c r="C381" i="3"/>
  <c r="D381" i="3"/>
  <c r="E381" i="3"/>
  <c r="F381" i="3"/>
  <c r="G381" i="3"/>
  <c r="H381" i="3"/>
  <c r="A382" i="3"/>
  <c r="B382" i="3"/>
  <c r="C382" i="3"/>
  <c r="D382" i="3"/>
  <c r="E382" i="3"/>
  <c r="F382" i="3"/>
  <c r="G382" i="3"/>
  <c r="H382" i="3"/>
  <c r="A383" i="3"/>
  <c r="B383" i="3"/>
  <c r="C383" i="3"/>
  <c r="D383" i="3"/>
  <c r="E383" i="3"/>
  <c r="F383" i="3"/>
  <c r="G383" i="3"/>
  <c r="H383" i="3"/>
  <c r="A384" i="3"/>
  <c r="B384" i="3"/>
  <c r="C384" i="3"/>
  <c r="D384" i="3"/>
  <c r="E384" i="3"/>
  <c r="F384" i="3"/>
  <c r="G384" i="3"/>
  <c r="H384" i="3"/>
  <c r="A385" i="3"/>
  <c r="B385" i="3"/>
  <c r="C385" i="3"/>
  <c r="D385" i="3"/>
  <c r="E385" i="3"/>
  <c r="F385" i="3"/>
  <c r="G385" i="3"/>
  <c r="H385" i="3"/>
  <c r="A386" i="3"/>
  <c r="B386" i="3"/>
  <c r="C386" i="3"/>
  <c r="D386" i="3"/>
  <c r="E386" i="3"/>
  <c r="F386" i="3"/>
  <c r="G386" i="3"/>
  <c r="H386" i="3"/>
  <c r="A387" i="3"/>
  <c r="B387" i="3"/>
  <c r="C387" i="3"/>
  <c r="D387" i="3"/>
  <c r="E387" i="3"/>
  <c r="F387" i="3"/>
  <c r="G387" i="3"/>
  <c r="H387" i="3"/>
  <c r="A388" i="3"/>
  <c r="B388" i="3"/>
  <c r="C388" i="3"/>
  <c r="D388" i="3"/>
  <c r="E388" i="3"/>
  <c r="F388" i="3"/>
  <c r="G388" i="3"/>
  <c r="H388" i="3"/>
  <c r="A389" i="3"/>
  <c r="B389" i="3"/>
  <c r="C389" i="3"/>
  <c r="D389" i="3"/>
  <c r="E389" i="3"/>
  <c r="F389" i="3"/>
  <c r="G389" i="3"/>
  <c r="H389" i="3"/>
  <c r="A390" i="3"/>
  <c r="B390" i="3"/>
  <c r="C390" i="3"/>
  <c r="D390" i="3"/>
  <c r="E390" i="3"/>
  <c r="F390" i="3"/>
  <c r="G390" i="3"/>
  <c r="H390" i="3"/>
  <c r="A391" i="3"/>
  <c r="B391" i="3"/>
  <c r="C391" i="3"/>
  <c r="D391" i="3"/>
  <c r="E391" i="3"/>
  <c r="F58" i="3"/>
  <c r="G391" i="3"/>
  <c r="H391" i="3"/>
  <c r="A392" i="3"/>
  <c r="B392" i="3"/>
  <c r="C392" i="3"/>
  <c r="D392" i="3"/>
  <c r="E392" i="3"/>
  <c r="F392" i="3"/>
  <c r="G392" i="3"/>
  <c r="H392" i="3"/>
  <c r="A393" i="3"/>
  <c r="B393" i="3"/>
  <c r="C393" i="3"/>
  <c r="D393" i="3"/>
  <c r="E393" i="3"/>
  <c r="F393" i="3"/>
  <c r="G393" i="3"/>
  <c r="H393" i="3"/>
  <c r="A394" i="3"/>
  <c r="B394" i="3"/>
  <c r="C394" i="3"/>
  <c r="D394" i="3"/>
  <c r="E394" i="3"/>
  <c r="F394" i="3"/>
  <c r="G394" i="3"/>
  <c r="H394" i="3"/>
  <c r="A395" i="3"/>
  <c r="B395" i="3"/>
  <c r="C395" i="3"/>
  <c r="D395" i="3"/>
  <c r="E395" i="3"/>
  <c r="F395" i="3"/>
  <c r="G395" i="3"/>
  <c r="H395" i="3"/>
  <c r="A396" i="3"/>
  <c r="B396" i="3"/>
  <c r="C396" i="3"/>
  <c r="D396" i="3"/>
  <c r="E396" i="3"/>
  <c r="F396" i="3"/>
  <c r="G396" i="3"/>
  <c r="H396" i="3"/>
  <c r="A397" i="3"/>
  <c r="B397" i="3"/>
  <c r="C397" i="3"/>
  <c r="D397" i="3"/>
  <c r="E397" i="3"/>
  <c r="F397" i="3"/>
  <c r="G397" i="3"/>
  <c r="H397" i="3"/>
  <c r="A398" i="3"/>
  <c r="B398" i="3"/>
  <c r="C398" i="3"/>
  <c r="D398" i="3"/>
  <c r="E398" i="3"/>
  <c r="F398" i="3"/>
  <c r="G398" i="3"/>
  <c r="H398" i="3"/>
  <c r="A399" i="3"/>
  <c r="B399" i="3"/>
  <c r="C399" i="3"/>
  <c r="D399" i="3"/>
  <c r="E399" i="3"/>
  <c r="F399" i="3"/>
  <c r="G399" i="3"/>
  <c r="H399" i="3"/>
  <c r="A400" i="3"/>
  <c r="B400" i="3"/>
  <c r="C400" i="3"/>
  <c r="D400" i="3"/>
  <c r="E400" i="3"/>
  <c r="F400" i="3"/>
  <c r="G400" i="3"/>
  <c r="H400" i="3"/>
  <c r="A401" i="3"/>
  <c r="B401" i="3"/>
  <c r="C401" i="3"/>
  <c r="D401" i="3"/>
  <c r="E401" i="3"/>
  <c r="F401" i="3"/>
  <c r="G401" i="3"/>
  <c r="H401" i="3"/>
  <c r="A402" i="3"/>
  <c r="B402" i="3"/>
  <c r="C402" i="3"/>
  <c r="D402" i="3"/>
  <c r="E402" i="3"/>
  <c r="F402" i="3"/>
  <c r="G402" i="3"/>
  <c r="H402" i="3"/>
  <c r="A403" i="3"/>
  <c r="B403" i="3"/>
  <c r="C403" i="3"/>
  <c r="D403" i="3"/>
  <c r="E403" i="3"/>
  <c r="F403" i="3"/>
  <c r="G403" i="3"/>
  <c r="H403" i="3"/>
  <c r="A404" i="3"/>
  <c r="B404" i="3"/>
  <c r="C404" i="3"/>
  <c r="D404" i="3"/>
  <c r="E404" i="3"/>
  <c r="F404" i="3"/>
  <c r="G404" i="3"/>
  <c r="H404" i="3"/>
  <c r="A405" i="3"/>
  <c r="B405" i="3"/>
  <c r="C405" i="3"/>
  <c r="D405" i="3"/>
  <c r="E405" i="3"/>
  <c r="F405" i="3"/>
  <c r="G405" i="3"/>
  <c r="H405" i="3"/>
  <c r="A406" i="3"/>
  <c r="B406" i="3"/>
  <c r="C406" i="3"/>
  <c r="D406" i="3"/>
  <c r="E406" i="3"/>
  <c r="F406" i="3"/>
  <c r="G406" i="3"/>
  <c r="H406" i="3"/>
  <c r="A407" i="3"/>
  <c r="B407" i="3"/>
  <c r="C407" i="3"/>
  <c r="D407" i="3"/>
  <c r="E407" i="3"/>
  <c r="F407" i="3"/>
  <c r="G407" i="3"/>
  <c r="H407" i="3"/>
  <c r="A408" i="3"/>
  <c r="B408" i="3"/>
  <c r="C408" i="3"/>
  <c r="D408" i="3"/>
  <c r="E408" i="3"/>
  <c r="F408" i="3"/>
  <c r="G408" i="3"/>
  <c r="H408" i="3"/>
  <c r="A409" i="3"/>
  <c r="B409" i="3"/>
  <c r="C409" i="3"/>
  <c r="D409" i="3"/>
  <c r="E409" i="3"/>
  <c r="F409" i="3"/>
  <c r="G409" i="3"/>
  <c r="H409" i="3"/>
  <c r="A410" i="3"/>
  <c r="B410" i="3"/>
  <c r="C410" i="3"/>
  <c r="D410" i="3"/>
  <c r="E410" i="3"/>
  <c r="F410" i="3"/>
  <c r="G410" i="3"/>
  <c r="H410" i="3"/>
  <c r="A411" i="3"/>
  <c r="B411" i="3"/>
  <c r="C411" i="3"/>
  <c r="D411" i="3"/>
  <c r="E411" i="3"/>
  <c r="F411" i="3"/>
  <c r="G411" i="3"/>
  <c r="H411" i="3"/>
  <c r="A412" i="3"/>
  <c r="B412" i="3"/>
  <c r="C412" i="3"/>
  <c r="D412" i="3"/>
  <c r="E412" i="3"/>
  <c r="F412" i="3"/>
  <c r="G412" i="3"/>
  <c r="H412" i="3"/>
  <c r="A413" i="3"/>
  <c r="B413" i="3"/>
  <c r="C413" i="3"/>
  <c r="D413" i="3"/>
  <c r="E413" i="3"/>
  <c r="F413" i="3"/>
  <c r="G413" i="3"/>
  <c r="H413" i="3"/>
  <c r="A414" i="3"/>
  <c r="B414" i="3"/>
  <c r="C414" i="3"/>
  <c r="D414" i="3"/>
  <c r="E414" i="3"/>
  <c r="F414" i="3"/>
  <c r="G414" i="3"/>
  <c r="H414" i="3"/>
  <c r="A415" i="3"/>
  <c r="B415" i="3"/>
  <c r="C415" i="3"/>
  <c r="D415" i="3"/>
  <c r="E415" i="3"/>
  <c r="F415" i="3"/>
  <c r="G415" i="3"/>
  <c r="H415" i="3"/>
  <c r="A416" i="3"/>
  <c r="B416" i="3"/>
  <c r="C416" i="3"/>
  <c r="D416" i="3"/>
  <c r="E416" i="3"/>
  <c r="F416" i="3"/>
  <c r="G416" i="3"/>
  <c r="H416" i="3"/>
  <c r="A417" i="3"/>
  <c r="B417" i="3"/>
  <c r="C417" i="3"/>
  <c r="D417" i="3"/>
  <c r="E417" i="3"/>
  <c r="F417" i="3"/>
  <c r="G417" i="3"/>
  <c r="H417" i="3"/>
  <c r="A418" i="3"/>
  <c r="B418" i="3"/>
  <c r="C418" i="3"/>
  <c r="D418" i="3"/>
  <c r="E418" i="3"/>
  <c r="F418" i="3"/>
  <c r="G418" i="3"/>
  <c r="H418" i="3"/>
  <c r="A419" i="3"/>
  <c r="B419" i="3"/>
  <c r="C419" i="3"/>
  <c r="D419" i="3"/>
  <c r="E419" i="3"/>
  <c r="F419" i="3"/>
  <c r="G419" i="3"/>
  <c r="H419" i="3"/>
  <c r="A420" i="3"/>
  <c r="B420" i="3"/>
  <c r="C420" i="3"/>
  <c r="D420" i="3"/>
  <c r="E420" i="3"/>
  <c r="F420" i="3"/>
  <c r="G420" i="3"/>
  <c r="H420" i="3"/>
  <c r="A421" i="3"/>
  <c r="B421" i="3"/>
  <c r="C421" i="3"/>
  <c r="D421" i="3"/>
  <c r="E421" i="3"/>
  <c r="F421" i="3"/>
  <c r="G421" i="3"/>
  <c r="H421" i="3"/>
  <c r="A422" i="3"/>
  <c r="B422" i="3"/>
  <c r="C422" i="3"/>
  <c r="D422" i="3"/>
  <c r="E422" i="3"/>
  <c r="F422" i="3"/>
  <c r="G422" i="3"/>
  <c r="H422" i="3"/>
  <c r="A423" i="3"/>
  <c r="B423" i="3"/>
  <c r="C423" i="3"/>
  <c r="D423" i="3"/>
  <c r="E423" i="3"/>
  <c r="F423" i="3"/>
  <c r="G423" i="3"/>
  <c r="H267" i="3"/>
  <c r="C268" i="3"/>
  <c r="F268" i="3"/>
  <c r="B269" i="3"/>
  <c r="E269" i="3"/>
  <c r="H269" i="3"/>
  <c r="C270" i="3"/>
  <c r="F270" i="3"/>
  <c r="A271" i="3"/>
  <c r="D271" i="3"/>
  <c r="G271" i="3"/>
  <c r="B272" i="3"/>
  <c r="D272" i="3"/>
  <c r="G272" i="3"/>
  <c r="B273" i="3"/>
  <c r="E273" i="3"/>
  <c r="H273" i="3"/>
  <c r="C274" i="3"/>
  <c r="F274" i="3"/>
  <c r="H274" i="3"/>
  <c r="C275" i="3"/>
  <c r="F275" i="3"/>
  <c r="A276" i="3"/>
  <c r="D276" i="3"/>
  <c r="G276" i="3"/>
  <c r="B277" i="3"/>
  <c r="E277" i="3"/>
  <c r="H277" i="3"/>
  <c r="C278" i="3"/>
  <c r="F278" i="3"/>
  <c r="A279" i="3"/>
  <c r="D279" i="3"/>
  <c r="G279" i="3"/>
  <c r="B280" i="3"/>
  <c r="E280" i="3"/>
  <c r="H280" i="3"/>
  <c r="C281" i="3"/>
  <c r="E281" i="3"/>
  <c r="A282" i="3"/>
  <c r="D282" i="3"/>
  <c r="G282" i="3"/>
  <c r="B283" i="3"/>
  <c r="E283" i="3"/>
  <c r="H283" i="3"/>
  <c r="C284" i="3"/>
  <c r="F284" i="3"/>
  <c r="A285" i="3"/>
  <c r="E285" i="3"/>
  <c r="D286" i="3"/>
  <c r="G286" i="3"/>
  <c r="B287" i="3"/>
  <c r="E287" i="3"/>
  <c r="H287" i="3"/>
  <c r="C288" i="3"/>
  <c r="F288" i="3"/>
  <c r="A289" i="3"/>
  <c r="D289" i="3"/>
  <c r="G289" i="3"/>
  <c r="B290" i="3"/>
  <c r="E290" i="3"/>
  <c r="H290" i="3"/>
  <c r="C291" i="3"/>
  <c r="E291" i="3"/>
  <c r="H291" i="3"/>
  <c r="C292" i="3"/>
  <c r="F292" i="3"/>
  <c r="A293" i="3"/>
  <c r="D293" i="3"/>
  <c r="G293" i="3"/>
  <c r="A294" i="3"/>
  <c r="D294" i="3"/>
  <c r="F294" i="3"/>
  <c r="A295" i="3"/>
  <c r="D295" i="3"/>
  <c r="G295" i="3"/>
  <c r="A296" i="3"/>
  <c r="A467" i="3"/>
  <c r="C467" i="3"/>
  <c r="F467" i="3"/>
  <c r="H467" i="3"/>
  <c r="B468" i="3"/>
  <c r="E468" i="3"/>
  <c r="G468" i="3"/>
  <c r="A469" i="3"/>
  <c r="C469" i="3"/>
  <c r="F469" i="3"/>
  <c r="H469" i="3"/>
  <c r="B470" i="3"/>
  <c r="D470" i="3"/>
  <c r="G470" i="3"/>
  <c r="A471" i="3"/>
  <c r="C471" i="3"/>
  <c r="E471" i="3"/>
  <c r="G471" i="3"/>
  <c r="B472" i="3"/>
  <c r="D472" i="3"/>
  <c r="F472" i="3"/>
  <c r="H472" i="3"/>
  <c r="C473" i="3"/>
  <c r="E473" i="3"/>
  <c r="G473" i="3"/>
  <c r="A474" i="3"/>
  <c r="C474" i="3"/>
  <c r="F474" i="3"/>
  <c r="H474" i="3"/>
  <c r="B475" i="3"/>
  <c r="D475" i="3"/>
  <c r="G475" i="3"/>
  <c r="A476" i="3"/>
  <c r="C476" i="3"/>
  <c r="E476" i="3"/>
  <c r="G476" i="3"/>
  <c r="B477" i="3"/>
  <c r="D477" i="3"/>
  <c r="F477" i="3"/>
  <c r="H477" i="3"/>
  <c r="C478" i="3"/>
  <c r="E478" i="3"/>
  <c r="G478" i="3"/>
  <c r="A479" i="3"/>
  <c r="D479" i="3"/>
  <c r="F479" i="3"/>
  <c r="H479" i="3"/>
  <c r="B480" i="3"/>
  <c r="D480" i="3"/>
  <c r="G480" i="3"/>
  <c r="A481" i="3"/>
  <c r="C481" i="3"/>
  <c r="E481" i="3"/>
  <c r="H481" i="3"/>
  <c r="B482" i="3"/>
  <c r="D482" i="3"/>
  <c r="G482" i="3"/>
  <c r="A483" i="3"/>
  <c r="C483" i="3"/>
  <c r="E483" i="3"/>
  <c r="G483" i="3"/>
  <c r="B484" i="3"/>
  <c r="D484" i="3"/>
  <c r="G484" i="3"/>
  <c r="A485" i="3"/>
  <c r="C485" i="3"/>
  <c r="E485" i="3"/>
  <c r="H485" i="3"/>
  <c r="B486" i="3"/>
  <c r="D486" i="3"/>
  <c r="G486" i="3"/>
  <c r="A487" i="3"/>
  <c r="C487" i="3"/>
  <c r="F487" i="3"/>
  <c r="H487" i="3"/>
  <c r="B488" i="3"/>
  <c r="D488" i="3"/>
  <c r="E488" i="3"/>
  <c r="F488" i="3"/>
  <c r="H488" i="3"/>
  <c r="B489" i="3"/>
  <c r="E489" i="3"/>
  <c r="G489" i="3"/>
  <c r="A490" i="3"/>
  <c r="C490" i="3"/>
  <c r="E490" i="3"/>
  <c r="H490" i="3"/>
  <c r="B491" i="3"/>
  <c r="D491" i="3"/>
  <c r="F491" i="3"/>
  <c r="A492" i="3"/>
  <c r="C492" i="3"/>
  <c r="E492" i="3"/>
  <c r="G492" i="3"/>
  <c r="B493" i="3"/>
  <c r="D493" i="3"/>
  <c r="F493" i="3"/>
  <c r="H493" i="3"/>
  <c r="C494" i="3"/>
  <c r="E494" i="3"/>
  <c r="G494" i="3"/>
  <c r="A495" i="3"/>
  <c r="D495" i="3"/>
  <c r="F495" i="3"/>
  <c r="H495" i="3"/>
  <c r="E296" i="3"/>
  <c r="A297" i="3"/>
  <c r="D297" i="3"/>
  <c r="G297" i="3"/>
  <c r="B298" i="3"/>
  <c r="E298" i="3"/>
  <c r="H298" i="3"/>
  <c r="C299" i="3"/>
  <c r="F299" i="3"/>
  <c r="A300" i="3"/>
  <c r="D300" i="3"/>
  <c r="G300" i="3"/>
  <c r="B301" i="3"/>
  <c r="D301" i="3"/>
  <c r="G301" i="3"/>
  <c r="B302" i="3"/>
  <c r="E302" i="3"/>
  <c r="H302" i="3"/>
  <c r="C303" i="3"/>
  <c r="F303" i="3"/>
  <c r="A304" i="3"/>
  <c r="C304" i="3"/>
  <c r="F304" i="3"/>
  <c r="A305" i="3"/>
  <c r="D305" i="3"/>
  <c r="G305" i="3"/>
  <c r="B306" i="3"/>
  <c r="E306" i="3"/>
  <c r="H306" i="3"/>
  <c r="C307" i="3"/>
  <c r="E307" i="3"/>
  <c r="H307" i="3"/>
  <c r="C308" i="3"/>
  <c r="G308" i="3"/>
  <c r="B309" i="3"/>
  <c r="D309" i="3"/>
  <c r="G309" i="3"/>
  <c r="B310" i="3"/>
  <c r="F310" i="3"/>
  <c r="A311" i="3"/>
  <c r="D311" i="3"/>
  <c r="G311" i="3"/>
  <c r="B312" i="3"/>
  <c r="E312" i="3"/>
  <c r="H312" i="3"/>
  <c r="C313" i="3"/>
  <c r="G313" i="3"/>
  <c r="B314" i="3"/>
  <c r="E314" i="3"/>
  <c r="H314" i="3"/>
  <c r="B315" i="3"/>
  <c r="E315" i="3"/>
  <c r="A316" i="3"/>
  <c r="D316" i="3"/>
  <c r="G316" i="3"/>
  <c r="B317" i="3"/>
  <c r="E317" i="3"/>
  <c r="H317" i="3"/>
  <c r="B318" i="3"/>
  <c r="E318" i="3"/>
  <c r="H318" i="3"/>
  <c r="C319" i="3"/>
  <c r="F319" i="3"/>
  <c r="A320" i="3"/>
  <c r="D320" i="3"/>
  <c r="G320" i="3"/>
  <c r="A321" i="3"/>
  <c r="D321" i="3"/>
  <c r="G321" i="3"/>
  <c r="B322" i="3"/>
  <c r="E322" i="3"/>
  <c r="H322" i="3"/>
  <c r="C323" i="3"/>
  <c r="G323" i="3"/>
  <c r="A324" i="3"/>
  <c r="D324" i="3"/>
  <c r="G324" i="3"/>
  <c r="B325" i="3"/>
  <c r="E325" i="3"/>
  <c r="H325" i="3"/>
  <c r="C326" i="3"/>
  <c r="F326" i="3"/>
  <c r="A327" i="3"/>
  <c r="D327" i="3"/>
  <c r="G327" i="3"/>
  <c r="B328" i="3"/>
  <c r="D328" i="3"/>
  <c r="F328" i="3"/>
  <c r="F330" i="3"/>
  <c r="H330" i="3"/>
  <c r="B331" i="3"/>
  <c r="D331" i="3"/>
  <c r="F331" i="3"/>
  <c r="H331" i="3"/>
  <c r="A332" i="3"/>
  <c r="B332" i="3"/>
  <c r="C332" i="3"/>
  <c r="D332" i="3"/>
  <c r="E332" i="3"/>
  <c r="F332" i="3"/>
  <c r="G332" i="3"/>
  <c r="H332" i="3"/>
  <c r="B333" i="3"/>
  <c r="D333" i="3"/>
  <c r="G333" i="3"/>
  <c r="A334" i="3"/>
  <c r="C334" i="3"/>
  <c r="E334" i="3"/>
  <c r="F334" i="3"/>
  <c r="H334" i="3"/>
  <c r="B335" i="3"/>
  <c r="D335" i="3"/>
  <c r="F335" i="3"/>
  <c r="H335" i="3"/>
  <c r="B336" i="3"/>
  <c r="D336" i="3"/>
  <c r="G336" i="3"/>
  <c r="H336" i="3"/>
  <c r="B337" i="3"/>
  <c r="D337" i="3"/>
  <c r="F337" i="3"/>
  <c r="H337" i="3"/>
  <c r="B338" i="3"/>
  <c r="E338" i="3"/>
  <c r="G338" i="3"/>
  <c r="A339" i="3"/>
  <c r="C339" i="3"/>
  <c r="E339" i="3"/>
  <c r="G339" i="3"/>
  <c r="A340" i="3"/>
  <c r="C340" i="3"/>
  <c r="E340" i="3"/>
  <c r="F340" i="3"/>
  <c r="H340" i="3"/>
  <c r="B341" i="3"/>
  <c r="D341" i="3"/>
  <c r="G341" i="3"/>
  <c r="A342" i="3"/>
  <c r="C342" i="3"/>
  <c r="E342" i="3"/>
  <c r="F342" i="3"/>
  <c r="H342" i="3"/>
  <c r="B343" i="3"/>
  <c r="D343" i="3"/>
  <c r="F343" i="3"/>
  <c r="H343" i="3"/>
  <c r="H423" i="3"/>
  <c r="A424" i="3"/>
  <c r="B424" i="3"/>
  <c r="C424" i="3"/>
  <c r="D424" i="3"/>
  <c r="E424" i="3"/>
  <c r="F424" i="3"/>
  <c r="G424" i="3"/>
  <c r="H424" i="3"/>
  <c r="A425" i="3"/>
  <c r="B425" i="3"/>
  <c r="C425" i="3"/>
  <c r="D425" i="3"/>
  <c r="E425" i="3"/>
  <c r="F425" i="3"/>
  <c r="G425" i="3"/>
  <c r="H425" i="3"/>
  <c r="A426" i="3"/>
  <c r="B426" i="3"/>
  <c r="C426" i="3"/>
  <c r="D426" i="3"/>
  <c r="E426" i="3"/>
  <c r="F426" i="3"/>
  <c r="G426" i="3"/>
  <c r="H426" i="3"/>
  <c r="A427" i="3"/>
  <c r="B427" i="3"/>
  <c r="C427" i="3"/>
  <c r="D427" i="3"/>
  <c r="E427" i="3"/>
  <c r="F427" i="3"/>
  <c r="G427" i="3"/>
  <c r="H427" i="3"/>
  <c r="A428" i="3"/>
  <c r="B428" i="3"/>
  <c r="C428" i="3"/>
  <c r="D428" i="3"/>
  <c r="E428" i="3"/>
  <c r="F428" i="3"/>
  <c r="G428" i="3"/>
  <c r="H428" i="3"/>
  <c r="A429" i="3"/>
  <c r="B429" i="3"/>
  <c r="C429" i="3"/>
  <c r="D429" i="3"/>
  <c r="E429" i="3"/>
  <c r="F429" i="3"/>
  <c r="G429" i="3"/>
  <c r="H429" i="3"/>
  <c r="A430" i="3"/>
  <c r="B430" i="3"/>
  <c r="C430" i="3"/>
  <c r="D430" i="3"/>
  <c r="E430" i="3"/>
  <c r="F430" i="3"/>
  <c r="G430" i="3"/>
  <c r="H430" i="3"/>
  <c r="A431" i="3"/>
  <c r="B431" i="3"/>
  <c r="C431" i="3"/>
  <c r="D431" i="3"/>
  <c r="E431" i="3"/>
  <c r="F431" i="3"/>
  <c r="G431" i="3"/>
  <c r="H431" i="3"/>
  <c r="A432" i="3"/>
  <c r="B432" i="3"/>
  <c r="C432" i="3"/>
  <c r="D432" i="3"/>
  <c r="E432" i="3"/>
  <c r="F432" i="3"/>
  <c r="G432" i="3"/>
  <c r="H432" i="3"/>
  <c r="A433" i="3"/>
  <c r="B433" i="3"/>
  <c r="C433" i="3"/>
  <c r="D433" i="3"/>
  <c r="E433" i="3"/>
  <c r="F433" i="3"/>
  <c r="G433" i="3"/>
  <c r="H433" i="3"/>
  <c r="A434" i="3"/>
  <c r="B434" i="3"/>
  <c r="C434" i="3"/>
  <c r="D434" i="3"/>
  <c r="E434" i="3"/>
  <c r="F434" i="3"/>
  <c r="G434" i="3"/>
  <c r="H434" i="3"/>
  <c r="A435" i="3"/>
  <c r="B435" i="3"/>
  <c r="C435" i="3"/>
  <c r="D435" i="3"/>
  <c r="E435" i="3"/>
  <c r="F435" i="3"/>
  <c r="G435" i="3"/>
  <c r="H435" i="3"/>
  <c r="A436" i="3"/>
  <c r="B436" i="3"/>
  <c r="C436" i="3"/>
  <c r="D436" i="3"/>
  <c r="E436" i="3"/>
  <c r="F436" i="3"/>
  <c r="G436" i="3"/>
  <c r="H436" i="3"/>
  <c r="A437" i="3"/>
  <c r="B437" i="3"/>
  <c r="C437" i="3"/>
  <c r="D437" i="3"/>
  <c r="E437" i="3"/>
  <c r="F437" i="3"/>
  <c r="G437" i="3"/>
  <c r="H437" i="3"/>
  <c r="A438" i="3"/>
  <c r="B438" i="3"/>
  <c r="C438" i="3"/>
  <c r="D438" i="3"/>
  <c r="E438" i="3"/>
  <c r="F438" i="3"/>
  <c r="G438" i="3"/>
  <c r="H438" i="3"/>
  <c r="A439" i="3"/>
  <c r="B439" i="3"/>
  <c r="C439" i="3"/>
  <c r="D439" i="3"/>
  <c r="E439" i="3"/>
  <c r="F439" i="3"/>
  <c r="G439" i="3"/>
  <c r="H439" i="3"/>
  <c r="A440" i="3"/>
  <c r="B440" i="3"/>
  <c r="C440" i="3"/>
  <c r="D440" i="3"/>
  <c r="E440" i="3"/>
  <c r="F440" i="3"/>
  <c r="G440" i="3"/>
  <c r="H440" i="3"/>
  <c r="A441" i="3"/>
  <c r="B441" i="3"/>
  <c r="C441" i="3"/>
  <c r="D441" i="3"/>
  <c r="E441" i="3"/>
  <c r="F441" i="3"/>
  <c r="G441" i="3"/>
  <c r="H441" i="3"/>
  <c r="A442" i="3"/>
  <c r="B442" i="3"/>
  <c r="C442" i="3"/>
  <c r="D442" i="3"/>
  <c r="E442" i="3"/>
  <c r="F442" i="3"/>
  <c r="G442" i="3"/>
  <c r="H442" i="3"/>
  <c r="A443" i="3"/>
  <c r="B443" i="3"/>
  <c r="C443" i="3"/>
  <c r="D443" i="3"/>
  <c r="E443" i="3"/>
  <c r="F443" i="3"/>
  <c r="G443" i="3"/>
  <c r="H443" i="3"/>
  <c r="A444" i="3"/>
  <c r="B444" i="3"/>
  <c r="C444" i="3"/>
  <c r="D444" i="3"/>
  <c r="E444" i="3"/>
  <c r="F444" i="3"/>
  <c r="G444" i="3"/>
  <c r="H444" i="3"/>
  <c r="A445" i="3"/>
  <c r="B445" i="3"/>
  <c r="C445" i="3"/>
  <c r="D445" i="3"/>
  <c r="E445" i="3"/>
  <c r="F445" i="3"/>
  <c r="G445" i="3"/>
  <c r="H445" i="3"/>
  <c r="A446" i="3"/>
  <c r="B446" i="3"/>
  <c r="C446" i="3"/>
  <c r="D446" i="3"/>
  <c r="E446" i="3"/>
  <c r="F446" i="3"/>
  <c r="G446" i="3"/>
  <c r="H446" i="3"/>
  <c r="A447" i="3"/>
  <c r="B447" i="3"/>
  <c r="C447" i="3"/>
  <c r="D447" i="3"/>
  <c r="E447" i="3"/>
  <c r="F447" i="3"/>
  <c r="G447" i="3"/>
  <c r="H447" i="3"/>
  <c r="A448" i="3"/>
  <c r="B448" i="3"/>
  <c r="C448" i="3"/>
  <c r="D448" i="3"/>
  <c r="E448" i="3"/>
  <c r="F448" i="3"/>
  <c r="G448" i="3"/>
  <c r="H448" i="3"/>
  <c r="A449" i="3"/>
  <c r="B449" i="3"/>
  <c r="C449" i="3"/>
  <c r="D449" i="3"/>
  <c r="E449" i="3"/>
  <c r="F449" i="3"/>
  <c r="G449" i="3"/>
  <c r="H449" i="3"/>
  <c r="A450" i="3"/>
  <c r="B450" i="3"/>
  <c r="C450" i="3"/>
  <c r="D450" i="3"/>
  <c r="E450" i="3"/>
  <c r="F450" i="3"/>
  <c r="G450" i="3"/>
  <c r="H450" i="3"/>
  <c r="A451" i="3"/>
  <c r="B451" i="3"/>
  <c r="C451" i="3"/>
  <c r="D451" i="3"/>
  <c r="E451" i="3"/>
  <c r="F451" i="3"/>
  <c r="G451" i="3"/>
  <c r="H451" i="3"/>
  <c r="A452" i="3"/>
  <c r="B452" i="3"/>
  <c r="C452" i="3"/>
  <c r="D452" i="3"/>
  <c r="E452" i="3"/>
  <c r="F452" i="3"/>
  <c r="G452" i="3"/>
  <c r="H452" i="3"/>
  <c r="A453" i="3"/>
  <c r="B453" i="3"/>
  <c r="C453" i="3"/>
  <c r="D453" i="3"/>
  <c r="E453" i="3"/>
  <c r="F453" i="3"/>
  <c r="G453" i="3"/>
  <c r="H453" i="3"/>
  <c r="A454" i="3"/>
  <c r="B454" i="3"/>
  <c r="C454" i="3"/>
  <c r="D454" i="3"/>
  <c r="E454" i="3"/>
  <c r="F454" i="3"/>
  <c r="G454" i="3"/>
  <c r="H454" i="3"/>
  <c r="A455" i="3"/>
  <c r="B455" i="3"/>
  <c r="C455" i="3"/>
  <c r="D455" i="3"/>
  <c r="E455" i="3"/>
  <c r="F455" i="3"/>
  <c r="G455" i="3"/>
  <c r="H455" i="3"/>
  <c r="A456" i="3"/>
  <c r="B456" i="3"/>
  <c r="C456" i="3"/>
  <c r="D456" i="3"/>
  <c r="E456" i="3"/>
  <c r="F456" i="3"/>
  <c r="G456" i="3"/>
  <c r="H456" i="3"/>
  <c r="A457" i="3"/>
  <c r="B457" i="3"/>
  <c r="C457" i="3"/>
  <c r="D457" i="3"/>
  <c r="E457" i="3"/>
  <c r="F457" i="3"/>
  <c r="G457" i="3"/>
  <c r="H457" i="3"/>
  <c r="A458" i="3"/>
  <c r="B458" i="3"/>
  <c r="C458" i="3"/>
  <c r="D458" i="3"/>
  <c r="E458" i="3"/>
  <c r="F458" i="3"/>
  <c r="G458" i="3"/>
  <c r="H458" i="3"/>
  <c r="A459" i="3"/>
  <c r="B459" i="3"/>
  <c r="C459" i="3"/>
  <c r="D459" i="3"/>
  <c r="E459" i="3"/>
  <c r="F459" i="3"/>
  <c r="G459" i="3"/>
  <c r="H459" i="3"/>
  <c r="A460" i="3"/>
  <c r="B460" i="3"/>
  <c r="C460" i="3"/>
  <c r="D460" i="3"/>
  <c r="E460" i="3"/>
  <c r="F460" i="3"/>
  <c r="G460" i="3"/>
  <c r="H460" i="3"/>
  <c r="A461" i="3"/>
  <c r="B461" i="3"/>
  <c r="C461" i="3"/>
  <c r="D461" i="3"/>
  <c r="E461" i="3"/>
  <c r="F461" i="3"/>
  <c r="G461" i="3"/>
  <c r="H461" i="3"/>
  <c r="A462" i="3"/>
  <c r="B462" i="3"/>
  <c r="C462" i="3"/>
  <c r="D462" i="3"/>
  <c r="E462" i="3"/>
  <c r="F462" i="3"/>
  <c r="G462" i="3"/>
  <c r="H462" i="3"/>
  <c r="A463" i="3"/>
  <c r="B463" i="3"/>
  <c r="C463" i="3"/>
  <c r="D463" i="3"/>
  <c r="E463" i="3"/>
  <c r="F463" i="3"/>
  <c r="G463" i="3"/>
  <c r="H463" i="3"/>
  <c r="A464" i="3"/>
  <c r="B464" i="3"/>
  <c r="C464" i="3"/>
  <c r="D464" i="3"/>
  <c r="E464" i="3"/>
  <c r="F464" i="3"/>
  <c r="G464" i="3"/>
  <c r="H464" i="3"/>
  <c r="A465" i="3"/>
  <c r="B465" i="3"/>
  <c r="C465" i="3"/>
  <c r="D465" i="3"/>
  <c r="E465" i="3"/>
  <c r="F465" i="3"/>
  <c r="G465" i="3"/>
  <c r="H465" i="3"/>
  <c r="A466" i="3"/>
  <c r="B466" i="3"/>
  <c r="C466" i="3"/>
  <c r="D466" i="3"/>
  <c r="E466" i="3"/>
  <c r="F466" i="3"/>
  <c r="G466" i="3"/>
  <c r="H466" i="3"/>
  <c r="B467" i="3"/>
  <c r="D467" i="3"/>
  <c r="E467" i="3"/>
  <c r="G467" i="3"/>
  <c r="A468" i="3"/>
  <c r="C468" i="3"/>
  <c r="D468" i="3"/>
  <c r="F468" i="3"/>
  <c r="H468" i="3"/>
  <c r="B469" i="3"/>
  <c r="D469" i="3"/>
  <c r="E469" i="3"/>
  <c r="G469" i="3"/>
  <c r="A470" i="3"/>
  <c r="C470" i="3"/>
  <c r="E470" i="3"/>
  <c r="F470" i="3"/>
  <c r="H470" i="3"/>
  <c r="B471" i="3"/>
  <c r="D471" i="3"/>
  <c r="F471" i="3"/>
  <c r="H471" i="3"/>
  <c r="A472" i="3"/>
  <c r="C472" i="3"/>
  <c r="E472" i="3"/>
  <c r="G472" i="3"/>
  <c r="A473" i="3"/>
  <c r="B473" i="3"/>
  <c r="D473" i="3"/>
  <c r="F473" i="3"/>
  <c r="H473" i="3"/>
  <c r="B474" i="3"/>
  <c r="D474" i="3"/>
  <c r="E474" i="3"/>
  <c r="G474" i="3"/>
  <c r="A475" i="3"/>
  <c r="C475" i="3"/>
  <c r="E475" i="3"/>
  <c r="F475" i="3"/>
  <c r="H475" i="3"/>
  <c r="B476" i="3"/>
  <c r="D476" i="3"/>
  <c r="F476" i="3"/>
  <c r="H476" i="3"/>
  <c r="A477" i="3"/>
  <c r="C477" i="3"/>
  <c r="E477" i="3"/>
  <c r="G477" i="3"/>
  <c r="A478" i="3"/>
  <c r="B478" i="3"/>
  <c r="D478" i="3"/>
  <c r="F478" i="3"/>
  <c r="H478" i="3"/>
  <c r="B479" i="3"/>
  <c r="C479" i="3"/>
  <c r="E479" i="3"/>
  <c r="G479" i="3"/>
  <c r="A480" i="3"/>
  <c r="C480" i="3"/>
  <c r="E480" i="3"/>
  <c r="F480" i="3"/>
  <c r="H480" i="3"/>
  <c r="B481" i="3"/>
  <c r="D481" i="3"/>
  <c r="F481" i="3"/>
  <c r="G481" i="3"/>
  <c r="A482" i="3"/>
  <c r="C482" i="3"/>
  <c r="E482" i="3"/>
  <c r="F482" i="3"/>
  <c r="H482" i="3"/>
  <c r="B483" i="3"/>
  <c r="D483" i="3"/>
  <c r="F483" i="3"/>
  <c r="H483" i="3"/>
  <c r="A484" i="3"/>
  <c r="C484" i="3"/>
  <c r="E484" i="3"/>
  <c r="F484" i="3"/>
  <c r="H484" i="3"/>
  <c r="B485" i="3"/>
  <c r="D485" i="3"/>
  <c r="F485" i="3"/>
  <c r="G485" i="3"/>
  <c r="A486" i="3"/>
  <c r="C486" i="3"/>
  <c r="E486" i="3"/>
  <c r="F486" i="3"/>
  <c r="H486" i="3"/>
  <c r="B487" i="3"/>
  <c r="D487" i="3"/>
  <c r="E487" i="3"/>
  <c r="G487" i="3"/>
  <c r="A488" i="3"/>
  <c r="C488" i="3"/>
  <c r="G488" i="3"/>
  <c r="A489" i="3"/>
  <c r="C489" i="3"/>
  <c r="D489" i="3"/>
  <c r="F489" i="3"/>
  <c r="H489" i="3"/>
  <c r="B490" i="3"/>
  <c r="D490" i="3"/>
  <c r="F490" i="3"/>
  <c r="G490" i="3"/>
  <c r="A491" i="3"/>
  <c r="C491" i="3"/>
  <c r="E491" i="3"/>
  <c r="G491" i="3"/>
  <c r="H491" i="3"/>
  <c r="B492" i="3"/>
  <c r="D492" i="3"/>
  <c r="F492" i="3"/>
  <c r="H492" i="3"/>
  <c r="A493" i="3"/>
  <c r="C493" i="3"/>
  <c r="E493" i="3"/>
  <c r="G493" i="3"/>
  <c r="A494" i="3"/>
  <c r="B494" i="3"/>
  <c r="D494" i="3"/>
  <c r="F494" i="3"/>
  <c r="H494" i="3"/>
  <c r="B495" i="3"/>
  <c r="C495" i="3"/>
  <c r="E495" i="3"/>
  <c r="G495" i="3"/>
  <c r="A38" i="3"/>
  <c r="D38" i="3"/>
  <c r="G38" i="3"/>
  <c r="C39" i="3"/>
  <c r="G39" i="3"/>
  <c r="B40" i="3"/>
  <c r="E40" i="3"/>
  <c r="H40" i="3"/>
  <c r="C41" i="3"/>
  <c r="F41" i="3"/>
  <c r="A42" i="3"/>
  <c r="D42" i="3"/>
  <c r="H42" i="3"/>
  <c r="B43" i="3"/>
  <c r="D43" i="3"/>
  <c r="F43" i="3"/>
  <c r="H43" i="3"/>
  <c r="E44" i="3"/>
  <c r="G44" i="3"/>
  <c r="A45" i="3"/>
  <c r="D45" i="3"/>
  <c r="F45" i="3"/>
  <c r="H45" i="3"/>
  <c r="B46" i="3"/>
  <c r="D46" i="3"/>
  <c r="G46" i="3"/>
  <c r="A47" i="3"/>
  <c r="D47" i="3"/>
  <c r="F47" i="3"/>
  <c r="H47" i="3"/>
  <c r="B48" i="3"/>
  <c r="D48" i="3"/>
  <c r="G48" i="3"/>
  <c r="A49" i="3"/>
  <c r="C49" i="3"/>
  <c r="E49" i="3"/>
  <c r="H49" i="3"/>
  <c r="B50" i="3"/>
  <c r="D50" i="3"/>
  <c r="F50" i="3"/>
  <c r="H50" i="3"/>
  <c r="B51" i="3"/>
  <c r="D51" i="3"/>
  <c r="F51" i="3"/>
  <c r="H51" i="3"/>
  <c r="B52" i="3"/>
  <c r="D52" i="3"/>
  <c r="E52" i="3"/>
  <c r="F52" i="3"/>
  <c r="G52" i="3"/>
  <c r="H52" i="3"/>
  <c r="A53" i="3"/>
  <c r="B53" i="3"/>
  <c r="C53" i="3"/>
  <c r="D53" i="3"/>
  <c r="E53" i="3"/>
  <c r="F53" i="3"/>
  <c r="G53" i="3"/>
  <c r="H53" i="3"/>
  <c r="A54" i="3"/>
  <c r="B54" i="3"/>
  <c r="C54" i="3"/>
  <c r="D54" i="3"/>
  <c r="E54" i="3"/>
  <c r="F54" i="3"/>
  <c r="G54" i="3"/>
  <c r="H54" i="3"/>
  <c r="A55" i="3"/>
  <c r="B55" i="3"/>
  <c r="C55" i="3"/>
  <c r="D55" i="3"/>
  <c r="E55" i="3"/>
  <c r="F55" i="3"/>
  <c r="G55" i="3"/>
  <c r="H55" i="3"/>
  <c r="A56" i="3"/>
  <c r="B56" i="3"/>
  <c r="C56" i="3"/>
  <c r="D56" i="3"/>
  <c r="E56" i="3"/>
  <c r="F56" i="3"/>
  <c r="G56" i="3"/>
  <c r="H56" i="3"/>
  <c r="A57" i="3"/>
  <c r="B57" i="3"/>
  <c r="C57" i="3"/>
  <c r="D57" i="3"/>
  <c r="E57" i="3"/>
  <c r="F57" i="3"/>
  <c r="G57" i="3"/>
  <c r="H57" i="3"/>
  <c r="A58" i="3"/>
  <c r="B58" i="3"/>
  <c r="C58" i="3"/>
  <c r="D58" i="3"/>
  <c r="E58" i="3"/>
  <c r="G58" i="3"/>
  <c r="H58" i="3"/>
  <c r="A59" i="3"/>
  <c r="B59" i="3"/>
  <c r="C59" i="3"/>
  <c r="D59" i="3"/>
  <c r="E59" i="3"/>
  <c r="F59" i="3"/>
  <c r="G59" i="3"/>
  <c r="H59" i="3"/>
  <c r="A60" i="3"/>
  <c r="B60" i="3"/>
  <c r="C60" i="3"/>
  <c r="D60" i="3"/>
  <c r="E60" i="3"/>
  <c r="F60" i="3"/>
  <c r="G60" i="3"/>
  <c r="H60" i="3"/>
  <c r="A61" i="3"/>
  <c r="B61" i="3"/>
  <c r="C61" i="3"/>
  <c r="D61" i="3"/>
  <c r="E61" i="3"/>
  <c r="F61" i="3"/>
  <c r="G61" i="3"/>
  <c r="H61" i="3"/>
  <c r="A62" i="3"/>
  <c r="B62" i="3"/>
  <c r="C62" i="3"/>
  <c r="D62" i="3"/>
  <c r="E62" i="3"/>
  <c r="F62" i="3"/>
  <c r="G62" i="3"/>
  <c r="H62" i="3"/>
  <c r="A63" i="3"/>
  <c r="B63" i="3"/>
  <c r="C63" i="3"/>
  <c r="D63" i="3"/>
  <c r="E63" i="3"/>
  <c r="F63" i="3"/>
  <c r="G63" i="3"/>
  <c r="H63" i="3"/>
  <c r="A64" i="3"/>
  <c r="B64" i="3"/>
  <c r="C64" i="3"/>
  <c r="D64" i="3"/>
  <c r="E64" i="3"/>
  <c r="F64" i="3"/>
  <c r="G64" i="3"/>
  <c r="H64" i="3"/>
  <c r="A65" i="3"/>
  <c r="B65" i="3"/>
  <c r="C65" i="3"/>
  <c r="D65" i="3"/>
  <c r="E65" i="3"/>
  <c r="F65" i="3"/>
  <c r="G65" i="3"/>
  <c r="H65" i="3"/>
  <c r="A66" i="3"/>
  <c r="B66" i="3"/>
  <c r="C66" i="3"/>
  <c r="D66" i="3"/>
  <c r="E66" i="3"/>
  <c r="F66" i="3"/>
  <c r="G66" i="3"/>
  <c r="H66" i="3"/>
  <c r="A67" i="3"/>
  <c r="B67" i="3"/>
  <c r="C67" i="3"/>
  <c r="D67" i="3"/>
  <c r="E67" i="3"/>
  <c r="F67" i="3"/>
  <c r="G67" i="3"/>
  <c r="H67" i="3"/>
  <c r="A68" i="3"/>
  <c r="B68" i="3"/>
  <c r="C68" i="3"/>
  <c r="D68" i="3"/>
  <c r="E68" i="3"/>
  <c r="F68" i="3"/>
  <c r="G68" i="3"/>
  <c r="H68" i="3"/>
  <c r="A69" i="3"/>
  <c r="B69" i="3"/>
  <c r="C69" i="3"/>
  <c r="D69" i="3"/>
  <c r="E69" i="3"/>
  <c r="F69" i="3"/>
  <c r="G69" i="3"/>
  <c r="H69" i="3"/>
  <c r="A70" i="3"/>
  <c r="B70" i="3"/>
  <c r="C70" i="3"/>
  <c r="D70" i="3"/>
  <c r="E70" i="3"/>
  <c r="F70" i="3"/>
  <c r="G70" i="3"/>
  <c r="H70" i="3"/>
  <c r="A71" i="3"/>
  <c r="B71" i="3"/>
  <c r="C71" i="3"/>
  <c r="D71" i="3"/>
  <c r="E71" i="3"/>
  <c r="F71" i="3"/>
  <c r="G71" i="3"/>
  <c r="H71" i="3"/>
  <c r="A72" i="3"/>
  <c r="B72" i="3"/>
  <c r="C72" i="3"/>
  <c r="D72" i="3"/>
  <c r="E72" i="3"/>
  <c r="F72" i="3"/>
  <c r="G72" i="3"/>
  <c r="H72" i="3"/>
  <c r="A73" i="3"/>
  <c r="B73" i="3"/>
  <c r="C73" i="3"/>
  <c r="D73" i="3"/>
  <c r="E73" i="3"/>
  <c r="F73" i="3"/>
  <c r="G73" i="3"/>
  <c r="H73" i="3"/>
  <c r="A74" i="3"/>
  <c r="B74" i="3"/>
  <c r="C74" i="3"/>
  <c r="D74" i="3"/>
  <c r="C45" i="3"/>
  <c r="H46" i="3"/>
  <c r="A48" i="3"/>
  <c r="H48" i="3"/>
  <c r="C50" i="3"/>
  <c r="E51" i="3"/>
  <c r="E111" i="3"/>
  <c r="B112" i="3"/>
  <c r="H112" i="3"/>
  <c r="F113" i="3"/>
  <c r="D114" i="3"/>
  <c r="C115" i="3"/>
  <c r="H115" i="3"/>
  <c r="G116" i="3"/>
  <c r="E117" i="3"/>
  <c r="D347" i="3"/>
  <c r="D357" i="3"/>
  <c r="G357" i="3"/>
  <c r="F361" i="3"/>
  <c r="B362" i="3"/>
  <c r="E362" i="3"/>
  <c r="H362" i="3"/>
  <c r="C363" i="3"/>
  <c r="F363" i="3"/>
  <c r="A364" i="3"/>
  <c r="C364" i="3"/>
  <c r="H364" i="3"/>
  <c r="C365" i="3"/>
  <c r="F365" i="3"/>
  <c r="A366" i="3"/>
  <c r="D366" i="3"/>
  <c r="F366" i="3"/>
  <c r="A367" i="3"/>
  <c r="E367" i="3"/>
  <c r="H367" i="3"/>
  <c r="B368" i="3"/>
  <c r="E368" i="3"/>
  <c r="A15" i="3"/>
  <c r="G15" i="3"/>
  <c r="D16" i="3"/>
  <c r="A17" i="3"/>
  <c r="E17" i="3"/>
  <c r="B18" i="3"/>
  <c r="G18" i="3"/>
  <c r="C19" i="3"/>
  <c r="G19" i="3"/>
  <c r="B20" i="3"/>
  <c r="E20" i="3"/>
  <c r="A21" i="3"/>
  <c r="E21" i="3"/>
  <c r="H21" i="3"/>
  <c r="D22" i="3"/>
  <c r="H22" i="3"/>
  <c r="D23" i="3"/>
  <c r="G23" i="3"/>
  <c r="E24" i="3"/>
  <c r="H24" i="3"/>
  <c r="A25" i="3"/>
  <c r="E25" i="3"/>
  <c r="A26" i="3"/>
  <c r="E26" i="3"/>
  <c r="H26" i="3"/>
  <c r="D27" i="3"/>
  <c r="H27" i="3"/>
  <c r="D28" i="3"/>
  <c r="H28" i="3"/>
  <c r="D29" i="3"/>
  <c r="G29" i="3"/>
  <c r="C30" i="3"/>
  <c r="F30" i="3"/>
  <c r="B31" i="3"/>
  <c r="E31" i="3"/>
  <c r="A32" i="3"/>
  <c r="D32" i="3"/>
  <c r="H32" i="3"/>
  <c r="F33" i="3"/>
  <c r="C35" i="3"/>
  <c r="E36" i="3"/>
  <c r="C37" i="3"/>
  <c r="G41" i="3"/>
  <c r="A44" i="3"/>
  <c r="C44" i="3"/>
  <c r="H44" i="3"/>
  <c r="G45" i="3"/>
  <c r="F46" i="3"/>
  <c r="E47" i="3"/>
  <c r="E48" i="3"/>
  <c r="D49" i="3"/>
  <c r="A50" i="3"/>
  <c r="C51" i="3"/>
  <c r="F111" i="3"/>
  <c r="D112" i="3"/>
  <c r="B113" i="3"/>
  <c r="G113" i="3"/>
  <c r="E114" i="3"/>
  <c r="B115" i="3"/>
  <c r="A116" i="3"/>
  <c r="F116" i="3"/>
  <c r="D117" i="3"/>
  <c r="B118" i="3"/>
  <c r="D41" i="3"/>
  <c r="C347" i="3"/>
  <c r="H347" i="3"/>
  <c r="B348" i="3"/>
  <c r="D348" i="3"/>
  <c r="F348" i="3"/>
  <c r="H348" i="3"/>
  <c r="C349" i="3"/>
  <c r="E349" i="3"/>
  <c r="G349" i="3"/>
  <c r="A350" i="3"/>
  <c r="C350" i="3"/>
  <c r="E350" i="3"/>
  <c r="G350" i="3"/>
  <c r="A351" i="3"/>
  <c r="C351" i="3"/>
  <c r="F351" i="3"/>
  <c r="H351" i="3"/>
  <c r="B352" i="3"/>
  <c r="D352" i="3"/>
  <c r="F352" i="3"/>
  <c r="H352" i="3"/>
  <c r="B353" i="3"/>
  <c r="D353" i="3"/>
  <c r="F353" i="3"/>
  <c r="H353" i="3"/>
  <c r="C354" i="3"/>
  <c r="E354" i="3"/>
  <c r="F354" i="3"/>
  <c r="H354" i="3"/>
  <c r="B355" i="3"/>
  <c r="D355" i="3"/>
  <c r="F355" i="3"/>
  <c r="H355" i="3"/>
  <c r="C356" i="3"/>
  <c r="D356" i="3"/>
  <c r="F356" i="3"/>
  <c r="H356" i="3"/>
  <c r="B357" i="3"/>
  <c r="E357" i="3"/>
  <c r="A361" i="3"/>
  <c r="C361" i="3"/>
  <c r="D361" i="3"/>
  <c r="G361" i="3"/>
  <c r="A362" i="3"/>
  <c r="D362" i="3"/>
  <c r="G362" i="3"/>
  <c r="B363" i="3"/>
  <c r="E363" i="3"/>
  <c r="H363" i="3"/>
  <c r="D364" i="3"/>
  <c r="G364" i="3"/>
  <c r="B365" i="3"/>
  <c r="E365" i="3"/>
  <c r="H365" i="3"/>
  <c r="C366" i="3"/>
  <c r="G366" i="3"/>
  <c r="B367" i="3"/>
  <c r="D367" i="3"/>
  <c r="G367" i="3"/>
  <c r="C368" i="3"/>
  <c r="F368" i="3"/>
  <c r="B13" i="3"/>
  <c r="E13" i="3"/>
  <c r="A14" i="3"/>
  <c r="E14" i="3"/>
  <c r="C15" i="3"/>
  <c r="H15" i="3"/>
  <c r="F16" i="3"/>
  <c r="C17" i="3"/>
  <c r="H17" i="3"/>
  <c r="E18" i="3"/>
  <c r="G50" i="3"/>
  <c r="D111" i="3"/>
  <c r="C112" i="3"/>
  <c r="A113" i="3"/>
  <c r="H113" i="3"/>
  <c r="F114" i="3"/>
  <c r="E115" i="3"/>
  <c r="C116" i="3"/>
  <c r="B117" i="3"/>
  <c r="H117" i="3"/>
  <c r="B347" i="3"/>
  <c r="E347" i="3"/>
  <c r="G347" i="3"/>
  <c r="A348" i="3"/>
  <c r="C348" i="3"/>
  <c r="E348" i="3"/>
  <c r="G348" i="3"/>
  <c r="A349" i="3"/>
  <c r="B349" i="3"/>
  <c r="D349" i="3"/>
  <c r="F349" i="3"/>
  <c r="H349" i="3"/>
  <c r="B350" i="3"/>
  <c r="D350" i="3"/>
  <c r="F350" i="3"/>
  <c r="H350" i="3"/>
  <c r="B351" i="3"/>
  <c r="D351" i="3"/>
  <c r="E351" i="3"/>
  <c r="G351" i="3"/>
  <c r="A352" i="3"/>
  <c r="C352" i="3"/>
  <c r="E352" i="3"/>
  <c r="G352" i="3"/>
  <c r="A353" i="3"/>
  <c r="C353" i="3"/>
  <c r="E353" i="3"/>
  <c r="G353" i="3"/>
  <c r="A354" i="3"/>
  <c r="B354" i="3"/>
  <c r="D354" i="3"/>
  <c r="G354" i="3"/>
  <c r="A355" i="3"/>
  <c r="C355" i="3"/>
  <c r="E355" i="3"/>
  <c r="G355" i="3"/>
  <c r="A356" i="3"/>
  <c r="B356" i="3"/>
  <c r="E356" i="3"/>
  <c r="G356" i="3"/>
  <c r="A357" i="3"/>
  <c r="C357" i="3"/>
  <c r="F357" i="3"/>
  <c r="H357" i="3"/>
  <c r="B361" i="3"/>
  <c r="E361" i="3"/>
  <c r="H361" i="3"/>
  <c r="C362" i="3"/>
  <c r="F362" i="3"/>
  <c r="A363" i="3"/>
  <c r="D363" i="3"/>
  <c r="G363" i="3"/>
  <c r="B364" i="3"/>
  <c r="E364" i="3"/>
  <c r="F364" i="3"/>
  <c r="A365" i="3"/>
  <c r="D365" i="3"/>
  <c r="G365" i="3"/>
  <c r="B366" i="3"/>
  <c r="E366" i="3"/>
  <c r="H366" i="3"/>
  <c r="C367" i="3"/>
  <c r="F367" i="3"/>
  <c r="A368" i="3"/>
  <c r="D368" i="3"/>
  <c r="C13" i="3"/>
  <c r="H13" i="3"/>
  <c r="D14" i="3"/>
  <c r="F14" i="3"/>
  <c r="B15" i="3"/>
  <c r="F15" i="3"/>
  <c r="C16" i="3"/>
  <c r="H16" i="3"/>
  <c r="F17" i="3"/>
  <c r="C18" i="3"/>
  <c r="D19" i="3"/>
  <c r="A20" i="3"/>
  <c r="F20" i="3"/>
  <c r="C21" i="3"/>
  <c r="G21" i="3"/>
  <c r="C22" i="3"/>
  <c r="G22" i="3"/>
  <c r="C23" i="3"/>
  <c r="H23" i="3"/>
  <c r="G24" i="3"/>
  <c r="C25" i="3"/>
  <c r="H25" i="3"/>
  <c r="D26" i="3"/>
  <c r="A27" i="3"/>
  <c r="F27" i="3"/>
  <c r="B28" i="3"/>
  <c r="G28" i="3"/>
  <c r="C29" i="3"/>
  <c r="A30" i="3"/>
  <c r="E30" i="3"/>
  <c r="A31" i="3"/>
  <c r="G31" i="3"/>
  <c r="B32" i="3"/>
  <c r="G32" i="3"/>
  <c r="C33" i="3"/>
  <c r="H34" i="3"/>
  <c r="B36" i="3"/>
  <c r="B47" i="3"/>
  <c r="A52" i="3"/>
  <c r="A112" i="3"/>
  <c r="G112" i="3"/>
  <c r="E113" i="3"/>
  <c r="C114" i="3"/>
  <c r="A115" i="3"/>
  <c r="G115" i="3"/>
  <c r="D116" i="3"/>
  <c r="A117" i="3"/>
  <c r="G117" i="3"/>
  <c r="G5" i="3"/>
  <c r="A6" i="3"/>
  <c r="C6" i="3"/>
  <c r="E6" i="3"/>
  <c r="G6" i="3"/>
  <c r="A7" i="3"/>
  <c r="C7" i="3"/>
  <c r="E7" i="3"/>
  <c r="G7" i="3"/>
  <c r="A8" i="3"/>
  <c r="B8" i="3"/>
  <c r="E8" i="3"/>
  <c r="G8" i="3"/>
  <c r="A9" i="3"/>
  <c r="D9" i="3"/>
  <c r="F9" i="3"/>
  <c r="H9" i="3"/>
  <c r="C10" i="3"/>
  <c r="E10" i="3"/>
  <c r="G10" i="3"/>
  <c r="A11" i="3"/>
  <c r="B11" i="3"/>
  <c r="C11" i="3"/>
  <c r="D11" i="3"/>
  <c r="E11" i="3"/>
  <c r="F11" i="3"/>
  <c r="G12" i="3"/>
  <c r="A13" i="3"/>
  <c r="F13" i="3"/>
  <c r="C14" i="3"/>
  <c r="H14" i="3"/>
  <c r="E15" i="3"/>
  <c r="B16" i="3"/>
  <c r="G16" i="3"/>
  <c r="D17" i="3"/>
  <c r="A18" i="3"/>
  <c r="F18" i="3"/>
  <c r="A19" i="3"/>
  <c r="E19" i="3"/>
  <c r="D20" i="3"/>
  <c r="H20" i="3"/>
  <c r="D21" i="3"/>
  <c r="A22" i="3"/>
  <c r="E22" i="3"/>
  <c r="B23" i="3"/>
  <c r="F23" i="3"/>
  <c r="A24" i="3"/>
  <c r="C24" i="3"/>
  <c r="F24" i="3"/>
  <c r="B25" i="3"/>
  <c r="F25" i="3"/>
  <c r="C26" i="3"/>
  <c r="G26" i="3"/>
  <c r="C27" i="3"/>
  <c r="G27" i="3"/>
  <c r="C28" i="3"/>
  <c r="F28" i="3"/>
  <c r="B29" i="3"/>
  <c r="F29" i="3"/>
  <c r="B30" i="3"/>
  <c r="H30" i="3"/>
  <c r="D31" i="3"/>
  <c r="H31" i="3"/>
  <c r="E32" i="3"/>
  <c r="F347" i="3"/>
  <c r="A33" i="3"/>
  <c r="A34" i="3"/>
  <c r="F35" i="3"/>
  <c r="G36" i="3"/>
  <c r="F37" i="3"/>
  <c r="E43" i="3"/>
  <c r="F44" i="3"/>
  <c r="E45" i="3"/>
  <c r="C46" i="3"/>
  <c r="G47" i="3"/>
  <c r="F48" i="3"/>
  <c r="F49" i="3"/>
  <c r="E50" i="3"/>
  <c r="G51" i="3"/>
  <c r="C52" i="3"/>
  <c r="G111" i="3"/>
  <c r="E112" i="3"/>
  <c r="C113" i="3"/>
  <c r="A114" i="3"/>
  <c r="G114" i="3"/>
  <c r="F115" i="3"/>
  <c r="E116" i="3"/>
  <c r="C117" i="3"/>
  <c r="A118" i="3"/>
  <c r="B496" i="3"/>
  <c r="D496" i="3"/>
  <c r="G496" i="3"/>
  <c r="A496" i="3"/>
  <c r="C496" i="3"/>
  <c r="E496" i="3"/>
  <c r="F496" i="3"/>
  <c r="H496" i="3"/>
  <c r="B497" i="3"/>
  <c r="D497" i="3"/>
  <c r="F497" i="3"/>
  <c r="G497" i="3"/>
  <c r="A498" i="3"/>
  <c r="C498" i="3"/>
  <c r="E498" i="3"/>
  <c r="G498" i="3"/>
  <c r="H498" i="3"/>
  <c r="B499" i="3"/>
  <c r="D499" i="3"/>
  <c r="F499" i="3"/>
  <c r="H499" i="3"/>
  <c r="A500" i="3"/>
  <c r="C500" i="3"/>
  <c r="E500" i="3"/>
  <c r="G500" i="3"/>
  <c r="A501" i="3"/>
  <c r="B501" i="3"/>
  <c r="D501" i="3"/>
  <c r="F501" i="3"/>
  <c r="H501" i="3"/>
  <c r="B2" i="3"/>
  <c r="C2" i="3"/>
  <c r="E2" i="3"/>
  <c r="G2" i="3"/>
  <c r="A3" i="3"/>
  <c r="C3" i="3"/>
  <c r="E3" i="3"/>
  <c r="G3" i="3"/>
  <c r="A4" i="3"/>
  <c r="B4" i="3"/>
  <c r="D4" i="3"/>
  <c r="F4" i="3"/>
  <c r="H4" i="3"/>
  <c r="B5" i="3"/>
  <c r="D5" i="3"/>
  <c r="F5" i="3"/>
  <c r="H5" i="3"/>
  <c r="B6" i="3"/>
  <c r="D6" i="3"/>
  <c r="F6" i="3"/>
  <c r="H6" i="3"/>
  <c r="B7" i="3"/>
  <c r="D7" i="3"/>
  <c r="F7" i="3"/>
  <c r="H7" i="3"/>
  <c r="C8" i="3"/>
  <c r="D8" i="3"/>
  <c r="F8" i="3"/>
  <c r="H8" i="3"/>
  <c r="B9" i="3"/>
  <c r="C9" i="3"/>
  <c r="E9" i="3"/>
  <c r="G9" i="3"/>
  <c r="A10" i="3"/>
  <c r="B10" i="3"/>
  <c r="D10" i="3"/>
  <c r="F10" i="3"/>
  <c r="H10" i="3"/>
  <c r="G11" i="3"/>
  <c r="H11" i="3"/>
  <c r="A12" i="3"/>
  <c r="B12" i="3"/>
  <c r="C12" i="3"/>
  <c r="D12" i="3"/>
  <c r="E12" i="3"/>
  <c r="F12" i="3"/>
  <c r="H12" i="3"/>
  <c r="D13" i="3"/>
  <c r="G13" i="3"/>
  <c r="B14" i="3"/>
  <c r="G14" i="3"/>
  <c r="D15" i="3"/>
  <c r="A16" i="3"/>
  <c r="E16" i="3"/>
  <c r="B17" i="3"/>
  <c r="G17" i="3"/>
  <c r="D18" i="3"/>
  <c r="H18" i="3"/>
  <c r="B19" i="3"/>
  <c r="F19" i="3"/>
  <c r="H19" i="3"/>
  <c r="C20" i="3"/>
  <c r="G20" i="3"/>
  <c r="B21" i="3"/>
  <c r="F21" i="3"/>
  <c r="B22" i="3"/>
  <c r="F22" i="3"/>
  <c r="A23" i="3"/>
  <c r="E23" i="3"/>
  <c r="B24" i="3"/>
  <c r="D24" i="3"/>
  <c r="D25" i="3"/>
  <c r="G25" i="3"/>
  <c r="B26" i="3"/>
  <c r="F26" i="3"/>
  <c r="B27" i="3"/>
  <c r="E27" i="3"/>
  <c r="A28" i="3"/>
  <c r="E28" i="3"/>
  <c r="A29" i="3"/>
  <c r="E29" i="3"/>
  <c r="H29" i="3"/>
  <c r="D30" i="3"/>
  <c r="G30" i="3"/>
  <c r="C31" i="3"/>
  <c r="F31" i="3"/>
  <c r="C32" i="3"/>
  <c r="F32" i="3"/>
  <c r="B33" i="3"/>
  <c r="E34" i="3"/>
  <c r="H35" i="3"/>
  <c r="A37" i="3"/>
  <c r="A497" i="3"/>
  <c r="C497" i="3"/>
  <c r="E497" i="3"/>
  <c r="H497" i="3"/>
  <c r="B498" i="3"/>
  <c r="D498" i="3"/>
  <c r="F498" i="3"/>
  <c r="A499" i="3"/>
  <c r="C499" i="3"/>
  <c r="E499" i="3"/>
  <c r="G499" i="3"/>
  <c r="B500" i="3"/>
  <c r="D500" i="3"/>
  <c r="F500" i="3"/>
  <c r="H500" i="3"/>
  <c r="C501" i="3"/>
  <c r="E501" i="3"/>
  <c r="G501" i="3"/>
  <c r="A2" i="3"/>
  <c r="D2" i="3"/>
  <c r="F2" i="3"/>
  <c r="H2" i="3"/>
  <c r="B3" i="3"/>
  <c r="D3" i="3"/>
  <c r="F3" i="3"/>
  <c r="H3" i="3"/>
  <c r="C4" i="3"/>
  <c r="E4" i="3"/>
  <c r="G4" i="3"/>
  <c r="A5" i="3"/>
  <c r="C5" i="3"/>
  <c r="E5" i="3"/>
  <c r="D33" i="3"/>
  <c r="G33" i="3"/>
  <c r="B34" i="3"/>
  <c r="D34" i="3"/>
  <c r="G34" i="3"/>
  <c r="B35" i="3"/>
  <c r="E35" i="3"/>
  <c r="E37" i="3"/>
  <c r="H37" i="3"/>
  <c r="C38" i="3"/>
  <c r="E38" i="3"/>
  <c r="H38" i="3"/>
  <c r="B39" i="3"/>
  <c r="E39" i="3"/>
  <c r="H39" i="3"/>
  <c r="C40" i="3"/>
  <c r="F40" i="3"/>
  <c r="A41" i="3"/>
  <c r="B42" i="3"/>
  <c r="E42" i="3"/>
  <c r="G42" i="3"/>
  <c r="A43" i="3"/>
  <c r="C43" i="3"/>
  <c r="G43" i="3"/>
  <c r="B44" i="3"/>
  <c r="D44" i="3"/>
  <c r="B45" i="3"/>
  <c r="A46" i="3"/>
  <c r="E46" i="3"/>
  <c r="C47" i="3"/>
  <c r="C48" i="3"/>
  <c r="B49" i="3"/>
  <c r="G49" i="3"/>
  <c r="A51" i="3"/>
  <c r="H111" i="3"/>
  <c r="F112" i="3"/>
  <c r="D113" i="3"/>
  <c r="B114" i="3"/>
  <c r="H114" i="3"/>
  <c r="D115" i="3"/>
  <c r="B116" i="3"/>
  <c r="H116" i="3"/>
  <c r="F117" i="3"/>
</calcChain>
</file>

<file path=xl/sharedStrings.xml><?xml version="1.0" encoding="utf-8"?>
<sst xmlns="http://schemas.openxmlformats.org/spreadsheetml/2006/main" count="1294" uniqueCount="130">
  <si>
    <t>Kategori</t>
  </si>
  <si>
    <t>Type / familie</t>
  </si>
  <si>
    <t>Størrelse / variant</t>
  </si>
  <si>
    <t>Antall texture-varianter</t>
  </si>
  <si>
    <t>Finnes nå</t>
  </si>
  <si>
    <t>Status</t>
  </si>
  <si>
    <t>Er block</t>
  </si>
  <si>
    <t>Kommentar</t>
  </si>
  <si>
    <t>_SortKey</t>
  </si>
  <si>
    <t>_Rank</t>
  </si>
  <si>
    <t>Standard</t>
  </si>
  <si>
    <t>Nei</t>
  </si>
  <si>
    <t>MANGLER</t>
  </si>
  <si>
    <t>Tool components</t>
  </si>
  <si>
    <t>Axe Head</t>
  </si>
  <si>
    <t>Materialformer</t>
  </si>
  <si>
    <t>Tiny</t>
  </si>
  <si>
    <t>Small</t>
  </si>
  <si>
    <t>Normal</t>
  </si>
  <si>
    <t>Large</t>
  </si>
  <si>
    <t>Huge</t>
  </si>
  <si>
    <t>Bearing</t>
  </si>
  <si>
    <t>Ja</t>
  </si>
  <si>
    <t>Bolt</t>
  </si>
  <si>
    <t>Buzz Saw Head</t>
  </si>
  <si>
    <t>Chainsaw Head</t>
  </si>
  <si>
    <t>Chisel Head</t>
  </si>
  <si>
    <t>Coil</t>
  </si>
  <si>
    <t>Machine components</t>
  </si>
  <si>
    <t>Conveyor</t>
  </si>
  <si>
    <t>Crowbar Head</t>
  </si>
  <si>
    <t>Ore processing</t>
  </si>
  <si>
    <t>Crushed Ore</t>
  </si>
  <si>
    <t>Drill Head</t>
  </si>
  <si>
    <t>Dust</t>
  </si>
  <si>
    <t>Emitter</t>
  </si>
  <si>
    <t>Field Generator</t>
  </si>
  <si>
    <t>File Head</t>
  </si>
  <si>
    <t>Foil</t>
  </si>
  <si>
    <t>Frame</t>
  </si>
  <si>
    <t>Fluids</t>
  </si>
  <si>
    <t>Gas</t>
  </si>
  <si>
    <t>Gear</t>
  </si>
  <si>
    <t>Gems / crystals</t>
  </si>
  <si>
    <t>Gem</t>
  </si>
  <si>
    <t>Hammer Head</t>
  </si>
  <si>
    <t>Hoe Head</t>
  </si>
  <si>
    <t>Ingot</t>
  </si>
  <si>
    <t>Knife Blade</t>
  </si>
  <si>
    <t>Lens</t>
  </si>
  <si>
    <t>Liquid</t>
  </si>
  <si>
    <t>Mallet Head</t>
  </si>
  <si>
    <t>Molten</t>
  </si>
  <si>
    <t>Motor</t>
  </si>
  <si>
    <t>Motor Armature</t>
  </si>
  <si>
    <t>Motor Coil</t>
  </si>
  <si>
    <t>Motor Housing</t>
  </si>
  <si>
    <t>Motor Shaft</t>
  </si>
  <si>
    <t>Nugget</t>
  </si>
  <si>
    <t>Ore</t>
  </si>
  <si>
    <t>Pickaxe Head</t>
  </si>
  <si>
    <t>Piston</t>
  </si>
  <si>
    <t>Piston Rod</t>
  </si>
  <si>
    <t>Plasma</t>
  </si>
  <si>
    <t>Plate</t>
  </si>
  <si>
    <t>Pump</t>
  </si>
  <si>
    <t>Pump Impeller</t>
  </si>
  <si>
    <t>Ring</t>
  </si>
  <si>
    <t>Rivet</t>
  </si>
  <si>
    <t>Robot Arm</t>
  </si>
  <si>
    <t>Rod</t>
  </si>
  <si>
    <t>Long</t>
  </si>
  <si>
    <t>Rotor</t>
  </si>
  <si>
    <t>Saw Blade</t>
  </si>
  <si>
    <t>Screw</t>
  </si>
  <si>
    <t>Screwdriver Head</t>
  </si>
  <si>
    <t>Sensor</t>
  </si>
  <si>
    <t>Shovel Head</t>
  </si>
  <si>
    <t>Spring</t>
  </si>
  <si>
    <t>Tool Binding</t>
  </si>
  <si>
    <t>Tool Grip</t>
  </si>
  <si>
    <t>Tool Handle</t>
  </si>
  <si>
    <t>Tool Rod</t>
  </si>
  <si>
    <t>Turbine Blade</t>
  </si>
  <si>
    <t>Wire</t>
  </si>
  <si>
    <t>Wire Cutter Head</t>
  </si>
  <si>
    <t>Wrench Head</t>
  </si>
  <si>
    <t>Industron Texture Checklist – Auto Sort by Column B</t>
  </si>
  <si>
    <t>Skriv og rediger i fanen Input.</t>
  </si>
  <si>
    <t>Fanen Alphabetisk sorterer hele raden automatisk kun etter kolonne B (type/familie).</t>
  </si>
  <si>
    <t>Kolonne A, C og resten følger raden og påvirker ikke hovedsorteringen.</t>
  </si>
  <si>
    <t>Kolonne G = Er block: Ja = block, Nei = item/ikke-block. Ja/Nei farges automatisk.</t>
  </si>
  <si>
    <t>Raw Ore</t>
  </si>
  <si>
    <t>Ball</t>
  </si>
  <si>
    <t>Standerd</t>
  </si>
  <si>
    <t>1x</t>
  </si>
  <si>
    <t>2x</t>
  </si>
  <si>
    <t>4x</t>
  </si>
  <si>
    <t>8x</t>
  </si>
  <si>
    <t>16x</t>
  </si>
  <si>
    <t>Fine Wire</t>
  </si>
  <si>
    <t>Washed Crushed Ore</t>
  </si>
  <si>
    <t>Raw Ore Block</t>
  </si>
  <si>
    <t>Refined Ore</t>
  </si>
  <si>
    <t>normal</t>
  </si>
  <si>
    <t>Har Texture</t>
  </si>
  <si>
    <t>Finnes i Spillet</t>
  </si>
  <si>
    <t>Størrelse</t>
  </si>
  <si>
    <t>Har Mold</t>
  </si>
  <si>
    <t>Skal Ikke ha</t>
  </si>
  <si>
    <t>Dust Impure</t>
  </si>
  <si>
    <t>Dust Purified</t>
  </si>
  <si>
    <t>Magnetic</t>
  </si>
  <si>
    <t>Generell Overlay</t>
  </si>
  <si>
    <t>Skal ikke ha</t>
  </si>
  <si>
    <t>Gem Flawless</t>
  </si>
  <si>
    <t>Gem Exquisite</t>
  </si>
  <si>
    <t>Gem Rough</t>
  </si>
  <si>
    <t>Ingot Hot</t>
  </si>
  <si>
    <t>Ingot Double</t>
  </si>
  <si>
    <t>Nugget Hot</t>
  </si>
  <si>
    <t xml:space="preserve">Plate Dense </t>
  </si>
  <si>
    <t>Plate Double</t>
  </si>
  <si>
    <t>Plate Reinforced</t>
  </si>
  <si>
    <t>Plate Heat Exchanger</t>
  </si>
  <si>
    <t xml:space="preserve">MANGLER </t>
  </si>
  <si>
    <t>Very Short</t>
  </si>
  <si>
    <t>Short</t>
  </si>
  <si>
    <t>Very Long</t>
  </si>
  <si>
    <t>Har terracotta Mold Part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</si>
</sst>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6"/>
      <name val="Calibri"/>
    </font>
    <font>
      <b/>
      <sz val="11"/>
      <color rgb="FFFFFFFF"/>
      <name val="Calibri"/>
    </font>
    <font>
      <sz val="11"/>
      <color rgb="FF000000"/>
      <name val="Calibri"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2B2B"/>
      </patternFill>
    </fill>
    <fill>
      <patternFill patternType="solid">
        <fgColor rgb="FF00A65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4" fillId="0" borderId="0" xfId="0" applyFont="1"/>
    <xf numFmtId="0" fontId="4" fillId="3" borderId="0" xfId="0" applyFont="1" applyFill="1"/>
    <xf numFmtId="0" fontId="4" fillId="4" borderId="0" xfId="0" applyFont="1" applyFill="1"/>
    <xf numFmtId="0" fontId="3" fillId="4" borderId="0" xfId="0" applyFont="1" applyFill="1"/>
    <xf numFmtId="0" fontId="3" fillId="3" borderId="0" xfId="0" applyFont="1" applyFill="1"/>
  </cellXfs>
  <cellStyles count="1">
    <cellStyle name="Normal" xfId="0" builtinId="0"/>
  </cellStyles>
  <dxfs count="112"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1"/>
      </font>
      <fill>
        <patternFill>
          <bgColor theme="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1"/>
      </font>
      <fill>
        <patternFill>
          <bgColor theme="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1"/>
      </font>
      <fill>
        <patternFill>
          <bgColor theme="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rgb="FF000000"/>
      </font>
      <fill>
        <patternFill patternType="solid">
          <fgColor rgb="FFFF2B2B"/>
        </patternFill>
      </fill>
    </dxf>
    <dxf>
      <font>
        <color rgb="FF000000"/>
      </font>
      <fill>
        <patternFill patternType="solid">
          <fgColor rgb="FF00A651"/>
        </patternFill>
      </fill>
    </dxf>
    <dxf>
      <font>
        <color rgb="FF000000"/>
      </font>
      <fill>
        <patternFill patternType="solid">
          <fgColor rgb="FFFF2B2B"/>
        </patternFill>
      </fill>
    </dxf>
    <dxf>
      <font>
        <color rgb="FF000000"/>
      </font>
      <fill>
        <patternFill patternType="solid">
          <fgColor rgb="FF00A651"/>
        </patternFill>
      </fill>
    </dxf>
    <dxf>
      <font>
        <color rgb="FF000000"/>
      </font>
      <fill>
        <patternFill patternType="solid">
          <fgColor rgb="FFFF2B2B"/>
        </patternFill>
      </fill>
    </dxf>
    <dxf>
      <font>
        <color rgb="FF000000"/>
      </font>
      <fill>
        <patternFill patternType="solid">
          <fgColor rgb="FF00A65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6"/>
  <sheetViews>
    <sheetView workbookViewId="0"/>
  </sheetViews>
  <sheetFormatPr baseColWidth="10" defaultColWidth="8.7265625" defaultRowHeight="14.5" x14ac:dyDescent="0.35"/>
  <cols>
    <col min="1" max="1" width="100" customWidth="1"/>
  </cols>
  <sheetData>
    <row r="1" spans="1:1" ht="21" customHeight="1" x14ac:dyDescent="0.5">
      <c r="A1" s="1" t="s">
        <v>87</v>
      </c>
    </row>
    <row r="3" spans="1:1" x14ac:dyDescent="0.35">
      <c r="A3" t="s">
        <v>88</v>
      </c>
    </row>
    <row r="4" spans="1:1" x14ac:dyDescent="0.35">
      <c r="A4" t="s">
        <v>89</v>
      </c>
    </row>
    <row r="5" spans="1:1" x14ac:dyDescent="0.35">
      <c r="A5" t="s">
        <v>90</v>
      </c>
    </row>
    <row r="6" spans="1:1" x14ac:dyDescent="0.35">
      <c r="A6" t="s">
        <v>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1"/>
  <sheetViews>
    <sheetView tabSelected="1" workbookViewId="0">
      <pane ySplit="1" topLeftCell="A161" activePane="bottomLeft" state="frozen"/>
      <selection pane="bottomLeft" activeCell="E175" sqref="E175"/>
    </sheetView>
  </sheetViews>
  <sheetFormatPr baseColWidth="10" defaultColWidth="8.7265625" defaultRowHeight="14.5" x14ac:dyDescent="0.35"/>
  <cols>
    <col min="1" max="1" width="24" customWidth="1"/>
    <col min="2" max="2" width="22.54296875" customWidth="1"/>
    <col min="3" max="3" width="16.453125" customWidth="1"/>
    <col min="4" max="4" width="23" customWidth="1"/>
    <col min="5" max="6" width="16.1796875" customWidth="1"/>
    <col min="7" max="7" width="18" customWidth="1"/>
    <col min="8" max="8" width="16.1796875" customWidth="1"/>
    <col min="9" max="10" width="13" hidden="1" customWidth="1"/>
    <col min="11" max="11" width="28.36328125" customWidth="1"/>
  </cols>
  <sheetData>
    <row r="1" spans="1:11" x14ac:dyDescent="0.35">
      <c r="A1" s="2" t="s">
        <v>0</v>
      </c>
      <c r="B1" s="2" t="s">
        <v>1</v>
      </c>
      <c r="C1" s="2" t="s">
        <v>107</v>
      </c>
      <c r="D1" s="2" t="s">
        <v>3</v>
      </c>
      <c r="E1" s="2" t="s">
        <v>108</v>
      </c>
      <c r="F1" s="2" t="s">
        <v>105</v>
      </c>
      <c r="G1" s="2" t="s">
        <v>106</v>
      </c>
      <c r="H1" s="2" t="s">
        <v>6</v>
      </c>
      <c r="I1" t="s">
        <v>8</v>
      </c>
      <c r="J1" t="s">
        <v>9</v>
      </c>
      <c r="K1" s="2" t="s">
        <v>129</v>
      </c>
    </row>
    <row r="2" spans="1:11" x14ac:dyDescent="0.35">
      <c r="A2" t="s">
        <v>13</v>
      </c>
      <c r="B2" t="s">
        <v>14</v>
      </c>
      <c r="C2" t="s">
        <v>10</v>
      </c>
      <c r="D2">
        <v>0</v>
      </c>
      <c r="E2" s="4" t="s">
        <v>11</v>
      </c>
      <c r="F2" s="4" t="str">
        <f>IF(D2=0,"Nei","Ja")</f>
        <v>Nei</v>
      </c>
      <c r="G2" t="s">
        <v>12</v>
      </c>
      <c r="H2" s="4" t="s">
        <v>11</v>
      </c>
      <c r="I2" t="str">
        <f>IF($B2="","",LOWER($B2)&amp;"|"&amp;TEXT(ROW(),"0000"))</f>
        <v>axe head|0002</v>
      </c>
      <c r="J2">
        <f>IF(I2="","",COUNTIF($I$2:$I$501,"&lt;="&amp;I2))</f>
        <v>329</v>
      </c>
      <c r="K2" s="4" t="s">
        <v>11</v>
      </c>
    </row>
    <row r="3" spans="1:11" x14ac:dyDescent="0.35">
      <c r="A3" t="s">
        <v>15</v>
      </c>
      <c r="B3" t="s">
        <v>93</v>
      </c>
      <c r="C3" t="s">
        <v>16</v>
      </c>
      <c r="D3">
        <v>0</v>
      </c>
      <c r="E3" s="4" t="s">
        <v>22</v>
      </c>
      <c r="F3" s="4" t="str">
        <f>IF(D3=0,"Nei","Ja")</f>
        <v>Nei</v>
      </c>
      <c r="G3" t="s">
        <v>12</v>
      </c>
      <c r="H3" s="4" t="s">
        <v>11</v>
      </c>
      <c r="I3" t="str">
        <f>IF($B3="","",LOWER($B3)&amp;"|"&amp;TEXT(ROW(),"0000"))</f>
        <v>ball|0003</v>
      </c>
      <c r="J3">
        <f>IF(I3="","",COUNTIF($I$2:$I$501,"&lt;="&amp;I3))</f>
        <v>330</v>
      </c>
      <c r="K3" s="7" t="s">
        <v>22</v>
      </c>
    </row>
    <row r="4" spans="1:11" x14ac:dyDescent="0.35">
      <c r="A4" t="s">
        <v>15</v>
      </c>
      <c r="B4" t="s">
        <v>93</v>
      </c>
      <c r="C4" t="s">
        <v>17</v>
      </c>
      <c r="D4">
        <v>0</v>
      </c>
      <c r="E4" s="4" t="s">
        <v>11</v>
      </c>
      <c r="F4" s="4" t="str">
        <f>IF(D4=0,"Nei","Ja")</f>
        <v>Nei</v>
      </c>
      <c r="G4" t="s">
        <v>12</v>
      </c>
      <c r="H4" s="4" t="s">
        <v>11</v>
      </c>
      <c r="I4" t="str">
        <f>IF($B4="","",LOWER($B4)&amp;"|"&amp;TEXT(ROW(),"0000"))</f>
        <v>ball|0004</v>
      </c>
      <c r="J4">
        <f>IF(I4="","",COUNTIF($I$2:$I$501,"&lt;="&amp;I4))</f>
        <v>331</v>
      </c>
      <c r="K4" s="4" t="s">
        <v>11</v>
      </c>
    </row>
    <row r="5" spans="1:11" x14ac:dyDescent="0.35">
      <c r="A5" t="s">
        <v>15</v>
      </c>
      <c r="B5" t="s">
        <v>93</v>
      </c>
      <c r="C5" t="s">
        <v>18</v>
      </c>
      <c r="D5">
        <v>1</v>
      </c>
      <c r="E5" s="4" t="s">
        <v>11</v>
      </c>
      <c r="F5" s="4" t="str">
        <f>IF(D5=0,"Nei","Ja")</f>
        <v>Ja</v>
      </c>
      <c r="G5" t="s">
        <v>12</v>
      </c>
      <c r="H5" s="4" t="s">
        <v>11</v>
      </c>
      <c r="I5" t="str">
        <f>IF($B5="","",LOWER($B5)&amp;"|"&amp;TEXT(ROW(),"0000"))</f>
        <v>ball|0005</v>
      </c>
      <c r="J5">
        <f>IF(I5="","",COUNTIF($I$2:$I$501,"&lt;="&amp;I5))</f>
        <v>332</v>
      </c>
      <c r="K5" s="4" t="s">
        <v>11</v>
      </c>
    </row>
    <row r="6" spans="1:11" x14ac:dyDescent="0.35">
      <c r="A6" t="s">
        <v>15</v>
      </c>
      <c r="B6" t="s">
        <v>93</v>
      </c>
      <c r="C6" t="s">
        <v>19</v>
      </c>
      <c r="D6">
        <v>0</v>
      </c>
      <c r="E6" s="4" t="s">
        <v>11</v>
      </c>
      <c r="F6" s="4" t="str">
        <f>IF(D6=0,"Nei","Ja")</f>
        <v>Nei</v>
      </c>
      <c r="G6" t="s">
        <v>12</v>
      </c>
      <c r="H6" s="4" t="s">
        <v>11</v>
      </c>
      <c r="I6" t="str">
        <f>IF($B6="","",LOWER($B6)&amp;"|"&amp;TEXT(ROW(),"0000"))</f>
        <v>ball|0006</v>
      </c>
      <c r="J6">
        <f>IF(I6="","",COUNTIF($I$2:$I$501,"&lt;="&amp;I6))</f>
        <v>333</v>
      </c>
      <c r="K6" s="4" t="s">
        <v>11</v>
      </c>
    </row>
    <row r="7" spans="1:11" x14ac:dyDescent="0.35">
      <c r="A7" t="s">
        <v>15</v>
      </c>
      <c r="B7" t="s">
        <v>93</v>
      </c>
      <c r="C7" t="s">
        <v>20</v>
      </c>
      <c r="D7">
        <v>0</v>
      </c>
      <c r="E7" s="4" t="s">
        <v>11</v>
      </c>
      <c r="F7" s="4" t="str">
        <f>IF(D7=0,"Nei","Ja")</f>
        <v>Nei</v>
      </c>
      <c r="G7" t="s">
        <v>125</v>
      </c>
      <c r="H7" s="4" t="s">
        <v>11</v>
      </c>
      <c r="I7" t="str">
        <f>IF($B7="","",LOWER($B7)&amp;"|"&amp;TEXT(ROW(),"0000"))</f>
        <v>ball|0007</v>
      </c>
      <c r="J7">
        <f>IF(I7="","",COUNTIF($I$2:$I$501,"&lt;="&amp;I7))</f>
        <v>334</v>
      </c>
      <c r="K7" s="4" t="s">
        <v>11</v>
      </c>
    </row>
    <row r="8" spans="1:11" x14ac:dyDescent="0.35">
      <c r="A8" t="s">
        <v>15</v>
      </c>
      <c r="B8" t="s">
        <v>21</v>
      </c>
      <c r="C8" t="s">
        <v>16</v>
      </c>
      <c r="D8">
        <v>0</v>
      </c>
      <c r="E8" s="4" t="s">
        <v>109</v>
      </c>
      <c r="F8" s="4" t="str">
        <f>IF(D8=0,"Nei","Ja")</f>
        <v>Nei</v>
      </c>
      <c r="G8" t="s">
        <v>12</v>
      </c>
      <c r="H8" s="4" t="s">
        <v>11</v>
      </c>
      <c r="I8" t="str">
        <f>IF($B8="","",LOWER($B8)&amp;"|"&amp;TEXT(ROW(),"0000"))</f>
        <v>bearing|0008</v>
      </c>
      <c r="J8">
        <f>IF(I8="","",COUNTIF($I$2:$I$501,"&lt;="&amp;I8))</f>
        <v>335</v>
      </c>
      <c r="K8" s="4" t="s">
        <v>109</v>
      </c>
    </row>
    <row r="9" spans="1:11" x14ac:dyDescent="0.35">
      <c r="A9" t="s">
        <v>15</v>
      </c>
      <c r="B9" t="s">
        <v>21</v>
      </c>
      <c r="C9" t="s">
        <v>17</v>
      </c>
      <c r="D9">
        <v>0</v>
      </c>
      <c r="E9" s="4" t="s">
        <v>109</v>
      </c>
      <c r="F9" s="4" t="str">
        <f>IF(D9=0,"Nei","Ja")</f>
        <v>Nei</v>
      </c>
      <c r="G9" t="s">
        <v>12</v>
      </c>
      <c r="H9" s="4" t="s">
        <v>11</v>
      </c>
      <c r="I9" t="str">
        <f>IF($B9="","",LOWER($B9)&amp;"|"&amp;TEXT(ROW(),"0000"))</f>
        <v>bearing|0009</v>
      </c>
      <c r="J9">
        <f>IF(I9="","",COUNTIF($I$2:$I$501,"&lt;="&amp;I9))</f>
        <v>336</v>
      </c>
      <c r="K9" s="4" t="s">
        <v>109</v>
      </c>
    </row>
    <row r="10" spans="1:11" x14ac:dyDescent="0.35">
      <c r="A10" t="s">
        <v>15</v>
      </c>
      <c r="B10" t="s">
        <v>21</v>
      </c>
      <c r="C10" t="s">
        <v>18</v>
      </c>
      <c r="D10">
        <v>1</v>
      </c>
      <c r="E10" s="4" t="s">
        <v>109</v>
      </c>
      <c r="F10" s="4" t="str">
        <f>IF(D10=0,"Nei","Ja")</f>
        <v>Ja</v>
      </c>
      <c r="G10" t="s">
        <v>12</v>
      </c>
      <c r="H10" s="4" t="s">
        <v>11</v>
      </c>
      <c r="I10" t="str">
        <f>IF($B10="","",LOWER($B10)&amp;"|"&amp;TEXT(ROW(),"0000"))</f>
        <v>bearing|0010</v>
      </c>
      <c r="J10">
        <f>IF(I10="","",COUNTIF($I$2:$I$501,"&lt;="&amp;I10))</f>
        <v>337</v>
      </c>
      <c r="K10" s="4" t="s">
        <v>109</v>
      </c>
    </row>
    <row r="11" spans="1:11" x14ac:dyDescent="0.35">
      <c r="A11" t="s">
        <v>15</v>
      </c>
      <c r="B11" t="s">
        <v>21</v>
      </c>
      <c r="C11" t="s">
        <v>19</v>
      </c>
      <c r="D11">
        <v>0</v>
      </c>
      <c r="E11" s="4" t="s">
        <v>109</v>
      </c>
      <c r="F11" s="4" t="str">
        <f>IF(D11=0,"Nei","Ja")</f>
        <v>Nei</v>
      </c>
      <c r="G11" t="s">
        <v>12</v>
      </c>
      <c r="H11" s="4" t="s">
        <v>11</v>
      </c>
      <c r="I11" t="str">
        <f>IF($B11="","",LOWER($B11)&amp;"|"&amp;TEXT(ROW(),"0000"))</f>
        <v>bearing|0011</v>
      </c>
      <c r="J11">
        <f>IF(I11="","",COUNTIF($I$2:$I$501,"&lt;="&amp;I11))</f>
        <v>338</v>
      </c>
      <c r="K11" s="4" t="s">
        <v>109</v>
      </c>
    </row>
    <row r="12" spans="1:11" x14ac:dyDescent="0.35">
      <c r="A12" t="s">
        <v>15</v>
      </c>
      <c r="B12" t="s">
        <v>21</v>
      </c>
      <c r="C12" t="s">
        <v>20</v>
      </c>
      <c r="D12">
        <v>0</v>
      </c>
      <c r="E12" s="4" t="s">
        <v>109</v>
      </c>
      <c r="F12" s="4" t="str">
        <f>IF(D12=0,"Nei","Ja")</f>
        <v>Nei</v>
      </c>
      <c r="G12" t="s">
        <v>12</v>
      </c>
      <c r="H12" s="4" t="s">
        <v>11</v>
      </c>
      <c r="I12" t="str">
        <f>IF($B12="","",LOWER($B12)&amp;"|"&amp;TEXT(ROW(),"0000"))</f>
        <v>bearing|0012</v>
      </c>
      <c r="J12">
        <f>IF(I12="","",COUNTIF($I$2:$I$501,"&lt;="&amp;I12))</f>
        <v>339</v>
      </c>
      <c r="K12" s="4" t="s">
        <v>109</v>
      </c>
    </row>
    <row r="13" spans="1:11" x14ac:dyDescent="0.35">
      <c r="A13" t="s">
        <v>15</v>
      </c>
      <c r="B13" t="s">
        <v>23</v>
      </c>
      <c r="C13" t="s">
        <v>16</v>
      </c>
      <c r="D13">
        <v>0</v>
      </c>
      <c r="E13" s="4" t="s">
        <v>109</v>
      </c>
      <c r="F13" s="4" t="str">
        <f>IF(D13=0,"Nei","Ja")</f>
        <v>Nei</v>
      </c>
      <c r="G13" t="s">
        <v>12</v>
      </c>
      <c r="H13" s="4" t="s">
        <v>11</v>
      </c>
      <c r="I13" t="str">
        <f>IF($B13="","",LOWER($B13)&amp;"|"&amp;TEXT(ROW(),"0000"))</f>
        <v>bolt|0013</v>
      </c>
      <c r="J13">
        <f>IF(I13="","",COUNTIF($I$2:$I$501,"&lt;="&amp;I13))</f>
        <v>340</v>
      </c>
      <c r="K13" s="4" t="s">
        <v>109</v>
      </c>
    </row>
    <row r="14" spans="1:11" x14ac:dyDescent="0.35">
      <c r="A14" t="s">
        <v>15</v>
      </c>
      <c r="B14" t="s">
        <v>23</v>
      </c>
      <c r="C14" t="s">
        <v>17</v>
      </c>
      <c r="D14">
        <v>0</v>
      </c>
      <c r="E14" s="4" t="s">
        <v>109</v>
      </c>
      <c r="F14" s="4" t="str">
        <f>IF(D14=0,"Nei","Ja")</f>
        <v>Nei</v>
      </c>
      <c r="G14" t="s">
        <v>12</v>
      </c>
      <c r="H14" s="4" t="s">
        <v>11</v>
      </c>
      <c r="I14" t="str">
        <f>IF($B14="","",LOWER($B14)&amp;"|"&amp;TEXT(ROW(),"0000"))</f>
        <v>bolt|0014</v>
      </c>
      <c r="J14">
        <f>IF(I14="","",COUNTIF($I$2:$I$501,"&lt;="&amp;I14))</f>
        <v>341</v>
      </c>
      <c r="K14" s="4" t="s">
        <v>109</v>
      </c>
    </row>
    <row r="15" spans="1:11" x14ac:dyDescent="0.35">
      <c r="A15" t="s">
        <v>15</v>
      </c>
      <c r="B15" t="s">
        <v>23</v>
      </c>
      <c r="C15" t="s">
        <v>18</v>
      </c>
      <c r="D15">
        <v>3</v>
      </c>
      <c r="E15" s="4" t="s">
        <v>109</v>
      </c>
      <c r="F15" s="4" t="str">
        <f>IF(D15=0,"Nei","Ja")</f>
        <v>Ja</v>
      </c>
      <c r="G15" t="s">
        <v>12</v>
      </c>
      <c r="H15" s="4" t="s">
        <v>11</v>
      </c>
      <c r="I15" t="str">
        <f>IF($B15="","",LOWER($B15)&amp;"|"&amp;TEXT(ROW(),"0000"))</f>
        <v>bolt|0015</v>
      </c>
      <c r="J15">
        <f>IF(I15="","",COUNTIF($I$2:$I$501,"&lt;="&amp;I15))</f>
        <v>342</v>
      </c>
      <c r="K15" s="4" t="s">
        <v>109</v>
      </c>
    </row>
    <row r="16" spans="1:11" x14ac:dyDescent="0.35">
      <c r="A16" t="s">
        <v>15</v>
      </c>
      <c r="B16" t="s">
        <v>23</v>
      </c>
      <c r="C16" t="s">
        <v>19</v>
      </c>
      <c r="D16">
        <v>0</v>
      </c>
      <c r="E16" s="4" t="s">
        <v>109</v>
      </c>
      <c r="F16" s="4" t="str">
        <f>IF(D16=0,"Nei","Ja")</f>
        <v>Nei</v>
      </c>
      <c r="G16" t="s">
        <v>12</v>
      </c>
      <c r="H16" s="4" t="s">
        <v>11</v>
      </c>
      <c r="I16" t="str">
        <f>IF($B16="","",LOWER($B16)&amp;"|"&amp;TEXT(ROW(),"0000"))</f>
        <v>bolt|0016</v>
      </c>
      <c r="J16">
        <f>IF(I16="","",COUNTIF($I$2:$I$501,"&lt;="&amp;I16))</f>
        <v>343</v>
      </c>
      <c r="K16" s="4" t="s">
        <v>109</v>
      </c>
    </row>
    <row r="17" spans="1:11" x14ac:dyDescent="0.35">
      <c r="A17" t="s">
        <v>15</v>
      </c>
      <c r="B17" t="s">
        <v>23</v>
      </c>
      <c r="C17" t="s">
        <v>20</v>
      </c>
      <c r="D17">
        <v>0</v>
      </c>
      <c r="E17" s="4" t="s">
        <v>109</v>
      </c>
      <c r="F17" s="4" t="str">
        <f>IF(D17=0,"Nei","Ja")</f>
        <v>Nei</v>
      </c>
      <c r="G17" t="s">
        <v>12</v>
      </c>
      <c r="H17" s="4" t="s">
        <v>11</v>
      </c>
      <c r="I17" t="str">
        <f>IF($B17="","",LOWER($B17)&amp;"|"&amp;TEXT(ROW(),"0000"))</f>
        <v>bolt|0017</v>
      </c>
      <c r="J17">
        <f>IF(I17="","",COUNTIF($I$2:$I$501,"&lt;="&amp;I17))</f>
        <v>344</v>
      </c>
      <c r="K17" s="4" t="s">
        <v>109</v>
      </c>
    </row>
    <row r="18" spans="1:11" x14ac:dyDescent="0.35">
      <c r="A18" t="s">
        <v>13</v>
      </c>
      <c r="B18" t="s">
        <v>24</v>
      </c>
      <c r="C18" t="s">
        <v>10</v>
      </c>
      <c r="D18">
        <v>2</v>
      </c>
      <c r="E18" s="4" t="s">
        <v>11</v>
      </c>
      <c r="F18" s="4" t="str">
        <f>IF(D18=0,"Nei","Ja")</f>
        <v>Ja</v>
      </c>
      <c r="G18" t="s">
        <v>12</v>
      </c>
      <c r="H18" s="4" t="s">
        <v>11</v>
      </c>
      <c r="I18" t="str">
        <f>IF($B18="","",LOWER($B18)&amp;"|"&amp;TEXT(ROW(),"0000"))</f>
        <v>buzz saw head|0018</v>
      </c>
      <c r="J18">
        <f>IF(I18="","",COUNTIF($I$2:$I$501,"&lt;="&amp;I18))</f>
        <v>345</v>
      </c>
      <c r="K18" s="4" t="s">
        <v>11</v>
      </c>
    </row>
    <row r="19" spans="1:11" x14ac:dyDescent="0.35">
      <c r="A19" t="s">
        <v>13</v>
      </c>
      <c r="B19" t="s">
        <v>25</v>
      </c>
      <c r="C19" t="s">
        <v>10</v>
      </c>
      <c r="D19">
        <v>2</v>
      </c>
      <c r="E19" s="4" t="s">
        <v>11</v>
      </c>
      <c r="F19" s="4" t="str">
        <f>IF(D19=0,"Nei","Ja")</f>
        <v>Ja</v>
      </c>
      <c r="G19" t="s">
        <v>12</v>
      </c>
      <c r="H19" s="4" t="s">
        <v>11</v>
      </c>
      <c r="I19" t="str">
        <f>IF($B19="","",LOWER($B19)&amp;"|"&amp;TEXT(ROW(),"0000"))</f>
        <v>chainsaw head|0019</v>
      </c>
      <c r="J19">
        <f>IF(I19="","",COUNTIF($I$2:$I$501,"&lt;="&amp;I19))</f>
        <v>346</v>
      </c>
      <c r="K19" s="4" t="s">
        <v>11</v>
      </c>
    </row>
    <row r="20" spans="1:11" x14ac:dyDescent="0.35">
      <c r="A20" t="s">
        <v>13</v>
      </c>
      <c r="B20" t="s">
        <v>26</v>
      </c>
      <c r="C20" t="s">
        <v>10</v>
      </c>
      <c r="D20">
        <v>0</v>
      </c>
      <c r="E20" s="4" t="s">
        <v>11</v>
      </c>
      <c r="F20" s="4" t="str">
        <f>IF(D20=0,"Nei","Ja")</f>
        <v>Nei</v>
      </c>
      <c r="G20" t="s">
        <v>12</v>
      </c>
      <c r="H20" s="4" t="s">
        <v>11</v>
      </c>
      <c r="I20" t="str">
        <f>IF($B20="","",LOWER($B20)&amp;"|"&amp;TEXT(ROW(),"0000"))</f>
        <v>chisel head|0020</v>
      </c>
      <c r="J20">
        <f>IF(I20="","",COUNTIF($I$2:$I$501,"&lt;="&amp;I20))</f>
        <v>347</v>
      </c>
      <c r="K20" s="4" t="s">
        <v>11</v>
      </c>
    </row>
    <row r="21" spans="1:11" x14ac:dyDescent="0.35">
      <c r="A21" t="s">
        <v>15</v>
      </c>
      <c r="B21" t="s">
        <v>27</v>
      </c>
      <c r="C21" t="s">
        <v>10</v>
      </c>
      <c r="D21">
        <v>0</v>
      </c>
      <c r="E21" s="4" t="s">
        <v>109</v>
      </c>
      <c r="F21" s="4" t="str">
        <f>IF(D21=0,"Nei","Ja")</f>
        <v>Nei</v>
      </c>
      <c r="G21" t="s">
        <v>12</v>
      </c>
      <c r="H21" s="4" t="s">
        <v>11</v>
      </c>
      <c r="I21" t="str">
        <f>IF($B21="","",LOWER($B21)&amp;"|"&amp;TEXT(ROW(),"0000"))</f>
        <v>coil|0021</v>
      </c>
      <c r="J21">
        <f>IF(I21="","",COUNTIF($I$2:$I$501,"&lt;="&amp;I21))</f>
        <v>348</v>
      </c>
      <c r="K21" s="4" t="s">
        <v>109</v>
      </c>
    </row>
    <row r="22" spans="1:11" x14ac:dyDescent="0.35">
      <c r="A22" t="s">
        <v>28</v>
      </c>
      <c r="B22" t="s">
        <v>29</v>
      </c>
      <c r="C22" t="s">
        <v>10</v>
      </c>
      <c r="D22">
        <v>0</v>
      </c>
      <c r="E22" s="4" t="s">
        <v>109</v>
      </c>
      <c r="F22" s="4" t="str">
        <f>IF(D22=0,"Nei","Ja")</f>
        <v>Nei</v>
      </c>
      <c r="G22" t="s">
        <v>12</v>
      </c>
      <c r="H22" s="4" t="s">
        <v>11</v>
      </c>
      <c r="I22" t="str">
        <f>IF($B22="","",LOWER($B22)&amp;"|"&amp;TEXT(ROW(),"0000"))</f>
        <v>conveyor|0022</v>
      </c>
      <c r="J22">
        <f>IF(I22="","",COUNTIF($I$2:$I$501,"&lt;="&amp;I22))</f>
        <v>349</v>
      </c>
      <c r="K22" s="4" t="s">
        <v>109</v>
      </c>
    </row>
    <row r="23" spans="1:11" x14ac:dyDescent="0.35">
      <c r="A23" t="s">
        <v>13</v>
      </c>
      <c r="B23" t="s">
        <v>30</v>
      </c>
      <c r="C23" t="s">
        <v>10</v>
      </c>
      <c r="D23">
        <v>0</v>
      </c>
      <c r="E23" s="4" t="s">
        <v>11</v>
      </c>
      <c r="F23" s="4" t="str">
        <f>IF(D23=0,"Nei","Ja")</f>
        <v>Nei</v>
      </c>
      <c r="G23" t="s">
        <v>12</v>
      </c>
      <c r="H23" s="4" t="s">
        <v>11</v>
      </c>
      <c r="I23" t="str">
        <f>IF($B23="","",LOWER($B23)&amp;"|"&amp;TEXT(ROW(),"0000"))</f>
        <v>crowbar head|0023</v>
      </c>
      <c r="J23">
        <f>IF(I23="","",COUNTIF($I$2:$I$501,"&lt;="&amp;I23))</f>
        <v>350</v>
      </c>
      <c r="K23" s="4" t="s">
        <v>11</v>
      </c>
    </row>
    <row r="24" spans="1:11" x14ac:dyDescent="0.35">
      <c r="A24" t="s">
        <v>31</v>
      </c>
      <c r="B24" t="s">
        <v>32</v>
      </c>
      <c r="C24" t="s">
        <v>10</v>
      </c>
      <c r="D24">
        <v>2</v>
      </c>
      <c r="E24" s="4" t="s">
        <v>109</v>
      </c>
      <c r="F24" s="4" t="str">
        <f>IF(D24=0,"Nei","Ja")</f>
        <v>Ja</v>
      </c>
      <c r="G24" t="s">
        <v>12</v>
      </c>
      <c r="H24" s="4" t="s">
        <v>11</v>
      </c>
      <c r="I24" t="str">
        <f>IF($B24="","",LOWER($B24)&amp;"|"&amp;TEXT(ROW(),"0000"))</f>
        <v>crushed ore|0024</v>
      </c>
      <c r="J24">
        <f>IF(I24="","",COUNTIF($I$2:$I$501,"&lt;="&amp;I24))</f>
        <v>351</v>
      </c>
      <c r="K24" s="4" t="s">
        <v>109</v>
      </c>
    </row>
    <row r="25" spans="1:11" x14ac:dyDescent="0.35">
      <c r="A25" t="s">
        <v>13</v>
      </c>
      <c r="B25" t="s">
        <v>33</v>
      </c>
      <c r="C25" t="s">
        <v>10</v>
      </c>
      <c r="D25">
        <v>2</v>
      </c>
      <c r="E25" s="4" t="s">
        <v>11</v>
      </c>
      <c r="F25" s="4" t="str">
        <f>IF(D25=0,"Nei","Ja")</f>
        <v>Ja</v>
      </c>
      <c r="G25" t="s">
        <v>12</v>
      </c>
      <c r="H25" s="4" t="s">
        <v>11</v>
      </c>
      <c r="I25" t="str">
        <f>IF($B25="","",LOWER($B25)&amp;"|"&amp;TEXT(ROW(),"0000"))</f>
        <v>drill head|0025</v>
      </c>
      <c r="J25">
        <f>IF(I25="","",COUNTIF($I$2:$I$501,"&lt;="&amp;I25))</f>
        <v>352</v>
      </c>
      <c r="K25" s="4" t="s">
        <v>11</v>
      </c>
    </row>
    <row r="26" spans="1:11" x14ac:dyDescent="0.35">
      <c r="A26" t="s">
        <v>15</v>
      </c>
      <c r="B26" t="s">
        <v>34</v>
      </c>
      <c r="C26" t="s">
        <v>16</v>
      </c>
      <c r="D26">
        <v>9</v>
      </c>
      <c r="E26" s="4" t="s">
        <v>109</v>
      </c>
      <c r="F26" s="4" t="str">
        <f>IF(D26=0,"Nei","Ja")</f>
        <v>Ja</v>
      </c>
      <c r="G26" t="s">
        <v>12</v>
      </c>
      <c r="H26" s="4" t="s">
        <v>11</v>
      </c>
      <c r="I26" t="str">
        <f>IF($B26="","",LOWER($B26)&amp;"|"&amp;TEXT(ROW(),"0000"))</f>
        <v>dust|0026</v>
      </c>
      <c r="J26">
        <f>IF(I26="","",COUNTIF($I$2:$I$501,"&lt;="&amp;I26))</f>
        <v>355</v>
      </c>
      <c r="K26" s="4" t="s">
        <v>109</v>
      </c>
    </row>
    <row r="27" spans="1:11" x14ac:dyDescent="0.35">
      <c r="A27" t="s">
        <v>15</v>
      </c>
      <c r="B27" t="s">
        <v>34</v>
      </c>
      <c r="C27" t="s">
        <v>17</v>
      </c>
      <c r="D27">
        <v>5</v>
      </c>
      <c r="E27" s="4" t="s">
        <v>109</v>
      </c>
      <c r="F27" s="4" t="str">
        <f>IF(D27=0,"Nei","Ja")</f>
        <v>Ja</v>
      </c>
      <c r="G27" t="s">
        <v>12</v>
      </c>
      <c r="H27" s="4" t="s">
        <v>11</v>
      </c>
      <c r="I27" t="str">
        <f>IF($B27="","",LOWER($B27)&amp;"|"&amp;TEXT(ROW(),"0000"))</f>
        <v>dust|0027</v>
      </c>
      <c r="J27">
        <f>IF(I27="","",COUNTIF($I$2:$I$501,"&lt;="&amp;I27))</f>
        <v>356</v>
      </c>
      <c r="K27" s="4" t="s">
        <v>109</v>
      </c>
    </row>
    <row r="28" spans="1:11" x14ac:dyDescent="0.35">
      <c r="A28" t="s">
        <v>15</v>
      </c>
      <c r="B28" t="s">
        <v>34</v>
      </c>
      <c r="C28" t="s">
        <v>18</v>
      </c>
      <c r="D28">
        <v>7</v>
      </c>
      <c r="E28" s="4" t="s">
        <v>109</v>
      </c>
      <c r="F28" s="4" t="str">
        <f>IF(D28=0,"Nei","Ja")</f>
        <v>Ja</v>
      </c>
      <c r="G28" t="s">
        <v>12</v>
      </c>
      <c r="H28" s="4" t="s">
        <v>11</v>
      </c>
      <c r="I28" t="str">
        <f>IF($B28="","",LOWER($B28)&amp;"|"&amp;TEXT(ROW(),"0000"))</f>
        <v>dust|0028</v>
      </c>
      <c r="J28">
        <f>IF(I28="","",COUNTIF($I$2:$I$501,"&lt;="&amp;I28))</f>
        <v>357</v>
      </c>
      <c r="K28" s="4" t="s">
        <v>109</v>
      </c>
    </row>
    <row r="29" spans="1:11" x14ac:dyDescent="0.35">
      <c r="A29" t="s">
        <v>15</v>
      </c>
      <c r="B29" t="s">
        <v>110</v>
      </c>
      <c r="C29" t="s">
        <v>10</v>
      </c>
      <c r="D29">
        <v>2</v>
      </c>
      <c r="E29" s="4" t="s">
        <v>109</v>
      </c>
      <c r="F29" s="4" t="str">
        <f>IF(D29=0,"Nei","Ja")</f>
        <v>Ja</v>
      </c>
      <c r="G29" t="s">
        <v>12</v>
      </c>
      <c r="H29" s="4" t="s">
        <v>11</v>
      </c>
      <c r="I29" t="str">
        <f>IF($B29="","",LOWER($B29)&amp;"|"&amp;TEXT(ROW(),"0000"))</f>
        <v>dust impure|0029</v>
      </c>
      <c r="J29">
        <f>IF(I29="","",COUNTIF($I$2:$I$501,"&lt;="&amp;I29))</f>
        <v>353</v>
      </c>
      <c r="K29" s="4" t="s">
        <v>109</v>
      </c>
    </row>
    <row r="30" spans="1:11" x14ac:dyDescent="0.35">
      <c r="A30" t="s">
        <v>15</v>
      </c>
      <c r="B30" t="s">
        <v>111</v>
      </c>
      <c r="C30" t="s">
        <v>10</v>
      </c>
      <c r="D30">
        <v>1</v>
      </c>
      <c r="E30" s="4" t="s">
        <v>109</v>
      </c>
      <c r="F30" s="4" t="str">
        <f>IF(D30=0,"Nei","Ja")</f>
        <v>Ja</v>
      </c>
      <c r="G30" t="s">
        <v>12</v>
      </c>
      <c r="H30" s="4" t="s">
        <v>11</v>
      </c>
      <c r="I30" t="str">
        <f>IF($B30="","",LOWER($B30)&amp;"|"&amp;TEXT(ROW(),"0000"))</f>
        <v>dust purified|0030</v>
      </c>
      <c r="J30">
        <f>IF(I30="","",COUNTIF($I$2:$I$501,"&lt;="&amp;I30))</f>
        <v>354</v>
      </c>
      <c r="K30" s="4" t="s">
        <v>109</v>
      </c>
    </row>
    <row r="31" spans="1:11" x14ac:dyDescent="0.35">
      <c r="A31" t="s">
        <v>28</v>
      </c>
      <c r="B31" t="s">
        <v>35</v>
      </c>
      <c r="C31" t="s">
        <v>10</v>
      </c>
      <c r="D31">
        <v>0</v>
      </c>
      <c r="E31" s="4" t="s">
        <v>109</v>
      </c>
      <c r="F31" s="4" t="str">
        <f>IF(D31=0,"Nei","Ja")</f>
        <v>Nei</v>
      </c>
      <c r="G31" t="s">
        <v>12</v>
      </c>
      <c r="H31" s="4" t="s">
        <v>11</v>
      </c>
      <c r="I31" t="str">
        <f>IF($B31="","",LOWER($B31)&amp;"|"&amp;TEXT(ROW(),"0000"))</f>
        <v>emitter|0031</v>
      </c>
      <c r="J31">
        <f>IF(I31="","",COUNTIF($I$2:$I$501,"&lt;="&amp;I31))</f>
        <v>358</v>
      </c>
      <c r="K31" s="4" t="s">
        <v>109</v>
      </c>
    </row>
    <row r="32" spans="1:11" x14ac:dyDescent="0.35">
      <c r="A32" t="s">
        <v>28</v>
      </c>
      <c r="B32" t="s">
        <v>36</v>
      </c>
      <c r="C32" t="s">
        <v>10</v>
      </c>
      <c r="D32">
        <v>0</v>
      </c>
      <c r="E32" s="4" t="s">
        <v>109</v>
      </c>
      <c r="F32" s="4" t="str">
        <f>IF(D32=0,"Nei","Ja")</f>
        <v>Nei</v>
      </c>
      <c r="G32" t="s">
        <v>12</v>
      </c>
      <c r="H32" s="4" t="s">
        <v>11</v>
      </c>
      <c r="I32" t="str">
        <f>IF($B32="","",LOWER($B32)&amp;"|"&amp;TEXT(ROW(),"0000"))</f>
        <v>field generator|0032</v>
      </c>
      <c r="J32">
        <f>IF(I32="","",COUNTIF($I$2:$I$501,"&lt;="&amp;I32))</f>
        <v>359</v>
      </c>
      <c r="K32" s="4" t="s">
        <v>109</v>
      </c>
    </row>
    <row r="33" spans="1:11" x14ac:dyDescent="0.35">
      <c r="A33" t="s">
        <v>13</v>
      </c>
      <c r="B33" t="s">
        <v>37</v>
      </c>
      <c r="C33" t="s">
        <v>10</v>
      </c>
      <c r="D33">
        <v>0</v>
      </c>
      <c r="E33" s="4" t="s">
        <v>11</v>
      </c>
      <c r="F33" s="4" t="str">
        <f>IF(D33=0,"Nei","Ja")</f>
        <v>Nei</v>
      </c>
      <c r="G33" t="s">
        <v>12</v>
      </c>
      <c r="H33" s="4" t="s">
        <v>11</v>
      </c>
      <c r="I33" t="str">
        <f>IF($B33="","",LOWER($B33)&amp;"|"&amp;TEXT(ROW(),"0000"))</f>
        <v>file head|0033</v>
      </c>
      <c r="J33">
        <f>IF(I33="","",COUNTIF($I$2:$I$501,"&lt;="&amp;I33))</f>
        <v>360</v>
      </c>
      <c r="K33" s="4" t="s">
        <v>11</v>
      </c>
    </row>
    <row r="34" spans="1:11" x14ac:dyDescent="0.35">
      <c r="A34" t="s">
        <v>15</v>
      </c>
      <c r="B34" t="s">
        <v>100</v>
      </c>
      <c r="C34" t="s">
        <v>94</v>
      </c>
      <c r="D34">
        <v>2</v>
      </c>
      <c r="E34" s="4" t="s">
        <v>109</v>
      </c>
      <c r="F34" s="4" t="str">
        <f>IF(D34=0,"Nei","Ja")</f>
        <v>Ja</v>
      </c>
      <c r="G34" t="s">
        <v>12</v>
      </c>
      <c r="H34" s="4" t="s">
        <v>11</v>
      </c>
      <c r="I34" t="str">
        <f>IF($B34="","",LOWER($B34)&amp;"|"&amp;TEXT(ROW(),"0000"))</f>
        <v>fine wire|0034</v>
      </c>
      <c r="J34">
        <f>IF(I34="","",COUNTIF($I$2:$I$501,"&lt;="&amp;I34))</f>
        <v>361</v>
      </c>
      <c r="K34" s="4" t="s">
        <v>109</v>
      </c>
    </row>
    <row r="35" spans="1:11" x14ac:dyDescent="0.35">
      <c r="A35" t="s">
        <v>15</v>
      </c>
      <c r="B35" t="s">
        <v>38</v>
      </c>
      <c r="C35" t="s">
        <v>94</v>
      </c>
      <c r="D35">
        <v>3</v>
      </c>
      <c r="E35" s="4" t="s">
        <v>109</v>
      </c>
      <c r="F35" s="4" t="str">
        <f>IF(D35=0,"Nei","Ja")</f>
        <v>Ja</v>
      </c>
      <c r="G35" t="s">
        <v>12</v>
      </c>
      <c r="H35" s="4" t="s">
        <v>11</v>
      </c>
      <c r="I35" t="str">
        <f>IF($B35="","",LOWER($B35)&amp;"|"&amp;TEXT(ROW(),"0000"))</f>
        <v>foil|0035</v>
      </c>
      <c r="J35">
        <f>IF(I35="","",COUNTIF($I$2:$I$501,"&lt;="&amp;I35))</f>
        <v>362</v>
      </c>
      <c r="K35" s="4" t="s">
        <v>109</v>
      </c>
    </row>
    <row r="36" spans="1:11" x14ac:dyDescent="0.35">
      <c r="A36" t="s">
        <v>15</v>
      </c>
      <c r="B36" t="s">
        <v>39</v>
      </c>
      <c r="C36" t="s">
        <v>94</v>
      </c>
      <c r="D36">
        <v>2</v>
      </c>
      <c r="E36" s="4" t="s">
        <v>109</v>
      </c>
      <c r="F36" s="4" t="str">
        <f>IF(D36=0,"Nei","Ja")</f>
        <v>Ja</v>
      </c>
      <c r="G36" t="s">
        <v>12</v>
      </c>
      <c r="H36" s="4" t="s">
        <v>22</v>
      </c>
      <c r="I36" t="str">
        <f>IF($B36="","",LOWER($B36)&amp;"|"&amp;TEXT(ROW(),"0000"))</f>
        <v>frame|0036</v>
      </c>
      <c r="J36">
        <f>IF(I36="","",COUNTIF($I$2:$I$501,"&lt;="&amp;I36))</f>
        <v>363</v>
      </c>
      <c r="K36" s="4" t="s">
        <v>109</v>
      </c>
    </row>
    <row r="37" spans="1:11" x14ac:dyDescent="0.35">
      <c r="A37" t="s">
        <v>40</v>
      </c>
      <c r="B37" t="s">
        <v>41</v>
      </c>
      <c r="C37" t="s">
        <v>10</v>
      </c>
      <c r="D37">
        <v>1</v>
      </c>
      <c r="E37" s="4" t="s">
        <v>109</v>
      </c>
      <c r="F37" s="4" t="str">
        <f>IF(D37=0,"Nei","Ja")</f>
        <v>Ja</v>
      </c>
      <c r="G37" t="s">
        <v>12</v>
      </c>
      <c r="H37" s="4" t="s">
        <v>11</v>
      </c>
      <c r="I37" t="str">
        <f>IF($B37="","",LOWER($B37)&amp;"|"&amp;TEXT(ROW(),"0000"))</f>
        <v>gas|0037</v>
      </c>
      <c r="J37">
        <f>IF(I37="","",COUNTIF($I$2:$I$501,"&lt;="&amp;I37))</f>
        <v>364</v>
      </c>
      <c r="K37" s="4" t="s">
        <v>109</v>
      </c>
    </row>
    <row r="38" spans="1:11" x14ac:dyDescent="0.35">
      <c r="A38" t="s">
        <v>15</v>
      </c>
      <c r="B38" t="s">
        <v>42</v>
      </c>
      <c r="C38" t="s">
        <v>16</v>
      </c>
      <c r="D38">
        <v>0</v>
      </c>
      <c r="E38" s="4" t="s">
        <v>11</v>
      </c>
      <c r="F38" s="4" t="str">
        <f>IF(D38=0,"Nei","Ja")</f>
        <v>Nei</v>
      </c>
      <c r="G38" t="s">
        <v>12</v>
      </c>
      <c r="H38" s="4" t="s">
        <v>11</v>
      </c>
      <c r="I38" t="str">
        <f>IF($B38="","",LOWER($B38)&amp;"|"&amp;TEXT(ROW(),"0000"))</f>
        <v>gear|0038</v>
      </c>
      <c r="J38">
        <f>IF(I38="","",COUNTIF($I$2:$I$501,"&lt;="&amp;I38))</f>
        <v>365</v>
      </c>
      <c r="K38" s="4" t="s">
        <v>11</v>
      </c>
    </row>
    <row r="39" spans="1:11" x14ac:dyDescent="0.35">
      <c r="A39" t="s">
        <v>15</v>
      </c>
      <c r="B39" t="s">
        <v>42</v>
      </c>
      <c r="C39" t="s">
        <v>17</v>
      </c>
      <c r="D39">
        <v>4</v>
      </c>
      <c r="E39" s="4" t="s">
        <v>22</v>
      </c>
      <c r="F39" s="4" t="str">
        <f>IF(D39=0,"Nei","Ja")</f>
        <v>Ja</v>
      </c>
      <c r="G39" t="s">
        <v>12</v>
      </c>
      <c r="H39" s="4" t="s">
        <v>11</v>
      </c>
      <c r="I39" t="str">
        <f>IF($B39="","",LOWER($B39)&amp;"|"&amp;TEXT(ROW(),"0000"))</f>
        <v>gear|0039</v>
      </c>
      <c r="J39">
        <f>IF(I39="","",COUNTIF($I$2:$I$501,"&lt;="&amp;I39))</f>
        <v>366</v>
      </c>
      <c r="K39" s="7" t="s">
        <v>22</v>
      </c>
    </row>
    <row r="40" spans="1:11" x14ac:dyDescent="0.35">
      <c r="A40" t="s">
        <v>15</v>
      </c>
      <c r="B40" t="s">
        <v>42</v>
      </c>
      <c r="C40" t="s">
        <v>18</v>
      </c>
      <c r="D40">
        <v>5</v>
      </c>
      <c r="E40" s="4" t="s">
        <v>22</v>
      </c>
      <c r="F40" s="4" t="str">
        <f>IF(D40=0,"Nei","Ja")</f>
        <v>Ja</v>
      </c>
      <c r="G40" t="s">
        <v>12</v>
      </c>
      <c r="H40" s="4" t="s">
        <v>11</v>
      </c>
      <c r="I40" t="str">
        <f>IF($B40="","",LOWER($B40)&amp;"|"&amp;TEXT(ROW(),"0000"))</f>
        <v>gear|0040</v>
      </c>
      <c r="J40">
        <f>IF(I40="","",COUNTIF($I$2:$I$501,"&lt;="&amp;I40))</f>
        <v>367</v>
      </c>
      <c r="K40" s="7" t="s">
        <v>22</v>
      </c>
    </row>
    <row r="41" spans="1:11" x14ac:dyDescent="0.35">
      <c r="A41" t="s">
        <v>15</v>
      </c>
      <c r="B41" t="s">
        <v>42</v>
      </c>
      <c r="C41" t="s">
        <v>19</v>
      </c>
      <c r="D41">
        <v>1</v>
      </c>
      <c r="E41" s="4" t="s">
        <v>11</v>
      </c>
      <c r="F41" s="4" t="str">
        <f>IF(D41=0,"Nei","Ja")</f>
        <v>Ja</v>
      </c>
      <c r="G41" t="s">
        <v>12</v>
      </c>
      <c r="H41" s="4" t="s">
        <v>11</v>
      </c>
      <c r="I41" t="str">
        <f>IF($B41="","",LOWER($B41)&amp;"|"&amp;TEXT(ROW(),"0000"))</f>
        <v>gear|0041</v>
      </c>
      <c r="J41">
        <f>IF(I41="","",COUNTIF($I$2:$I$501,"&lt;="&amp;I41))</f>
        <v>368</v>
      </c>
      <c r="K41" s="7" t="s">
        <v>22</v>
      </c>
    </row>
    <row r="42" spans="1:11" x14ac:dyDescent="0.35">
      <c r="A42" t="s">
        <v>15</v>
      </c>
      <c r="B42" t="s">
        <v>42</v>
      </c>
      <c r="C42" t="s">
        <v>20</v>
      </c>
      <c r="D42">
        <v>0</v>
      </c>
      <c r="E42" s="4" t="s">
        <v>11</v>
      </c>
      <c r="F42" s="4" t="str">
        <f>IF(D42=0,"Nei","Ja")</f>
        <v>Nei</v>
      </c>
      <c r="G42" t="s">
        <v>12</v>
      </c>
      <c r="H42" s="4" t="s">
        <v>11</v>
      </c>
      <c r="I42" t="str">
        <f>IF($B42="","",LOWER($B42)&amp;"|"&amp;TEXT(ROW(),"0000"))</f>
        <v>gear|0042</v>
      </c>
      <c r="J42">
        <f>IF(I42="","",COUNTIF($I$2:$I$501,"&lt;="&amp;I42))</f>
        <v>369</v>
      </c>
      <c r="K42" s="4" t="s">
        <v>11</v>
      </c>
    </row>
    <row r="43" spans="1:11" x14ac:dyDescent="0.35">
      <c r="A43" t="s">
        <v>43</v>
      </c>
      <c r="B43" t="s">
        <v>44</v>
      </c>
      <c r="C43" t="s">
        <v>16</v>
      </c>
      <c r="D43">
        <v>0</v>
      </c>
      <c r="E43" s="4" t="s">
        <v>109</v>
      </c>
      <c r="F43" s="4" t="str">
        <f>IF(D43=0,"Nei","Ja")</f>
        <v>Nei</v>
      </c>
      <c r="G43" t="s">
        <v>12</v>
      </c>
      <c r="H43" s="4" t="s">
        <v>11</v>
      </c>
      <c r="I43" t="str">
        <f>IF($B43="","",LOWER($B43)&amp;"|"&amp;TEXT(ROW(),"0000"))</f>
        <v>gem|0043</v>
      </c>
      <c r="J43">
        <f>IF(I43="","",COUNTIF($I$2:$I$501,"&lt;="&amp;I43))</f>
        <v>377</v>
      </c>
      <c r="K43" s="4" t="s">
        <v>109</v>
      </c>
    </row>
    <row r="44" spans="1:11" x14ac:dyDescent="0.35">
      <c r="A44" t="s">
        <v>43</v>
      </c>
      <c r="B44" t="s">
        <v>44</v>
      </c>
      <c r="C44" t="s">
        <v>17</v>
      </c>
      <c r="D44">
        <v>0</v>
      </c>
      <c r="E44" s="4" t="s">
        <v>109</v>
      </c>
      <c r="F44" s="4" t="str">
        <f>IF(D44=0,"Nei","Ja")</f>
        <v>Nei</v>
      </c>
      <c r="G44" t="s">
        <v>12</v>
      </c>
      <c r="H44" s="4" t="s">
        <v>11</v>
      </c>
      <c r="I44" t="str">
        <f>IF($B44="","",LOWER($B44)&amp;"|"&amp;TEXT(ROW(),"0000"))</f>
        <v>gem|0044</v>
      </c>
      <c r="J44">
        <f>IF(I44="","",COUNTIF($I$2:$I$501,"&lt;="&amp;I44))</f>
        <v>378</v>
      </c>
      <c r="K44" s="4" t="s">
        <v>109</v>
      </c>
    </row>
    <row r="45" spans="1:11" x14ac:dyDescent="0.35">
      <c r="A45" t="s">
        <v>43</v>
      </c>
      <c r="B45" t="s">
        <v>44</v>
      </c>
      <c r="C45" t="s">
        <v>18</v>
      </c>
      <c r="D45">
        <v>14</v>
      </c>
      <c r="E45" s="4" t="s">
        <v>109</v>
      </c>
      <c r="F45" s="4" t="str">
        <f>IF(D45=0,"Nei","Ja")</f>
        <v>Ja</v>
      </c>
      <c r="G45" t="s">
        <v>12</v>
      </c>
      <c r="H45" s="4" t="s">
        <v>11</v>
      </c>
      <c r="I45" t="str">
        <f>IF($B45="","",LOWER($B45)&amp;"|"&amp;TEXT(ROW(),"0000"))</f>
        <v>gem|0045</v>
      </c>
      <c r="J45">
        <f>IF(I45="","",COUNTIF($I$2:$I$501,"&lt;="&amp;I45))</f>
        <v>379</v>
      </c>
      <c r="K45" s="4" t="s">
        <v>109</v>
      </c>
    </row>
    <row r="46" spans="1:11" x14ac:dyDescent="0.35">
      <c r="A46" t="s">
        <v>43</v>
      </c>
      <c r="B46" t="s">
        <v>116</v>
      </c>
      <c r="C46" t="s">
        <v>20</v>
      </c>
      <c r="D46">
        <v>1</v>
      </c>
      <c r="E46" s="4" t="s">
        <v>109</v>
      </c>
      <c r="F46" s="4" t="str">
        <f>IF(D46=0,"Nei","Ja")</f>
        <v>Ja</v>
      </c>
      <c r="G46" t="s">
        <v>12</v>
      </c>
      <c r="H46" s="4" t="s">
        <v>22</v>
      </c>
      <c r="I46" t="str">
        <f>IF($B46="","",LOWER($B46)&amp;"|"&amp;TEXT(ROW(),"0000"))</f>
        <v>gem exquisite|0046</v>
      </c>
      <c r="J46">
        <f>IF(I46="","",COUNTIF($I$2:$I$501,"&lt;="&amp;I46))</f>
        <v>370</v>
      </c>
      <c r="K46" s="4" t="s">
        <v>109</v>
      </c>
    </row>
    <row r="47" spans="1:11" x14ac:dyDescent="0.35">
      <c r="A47" t="s">
        <v>43</v>
      </c>
      <c r="B47" t="s">
        <v>115</v>
      </c>
      <c r="C47" t="s">
        <v>19</v>
      </c>
      <c r="D47">
        <v>1</v>
      </c>
      <c r="E47" s="4" t="s">
        <v>109</v>
      </c>
      <c r="F47" s="4" t="str">
        <f>IF(D47=0,"Nei","Ja")</f>
        <v>Ja</v>
      </c>
      <c r="G47" t="s">
        <v>12</v>
      </c>
      <c r="H47" s="4" t="s">
        <v>11</v>
      </c>
      <c r="I47" t="str">
        <f>IF($B47="","",LOWER($B47)&amp;"|"&amp;TEXT(ROW(),"0000"))</f>
        <v>gem flawless|0047</v>
      </c>
      <c r="J47">
        <f>IF(I47="","",COUNTIF($I$2:$I$501,"&lt;="&amp;I47))</f>
        <v>371</v>
      </c>
      <c r="K47" s="4" t="s">
        <v>109</v>
      </c>
    </row>
    <row r="48" spans="1:11" x14ac:dyDescent="0.35">
      <c r="A48" t="s">
        <v>43</v>
      </c>
      <c r="B48" t="s">
        <v>117</v>
      </c>
      <c r="C48" t="s">
        <v>16</v>
      </c>
      <c r="D48">
        <v>3</v>
      </c>
      <c r="E48" s="4" t="s">
        <v>109</v>
      </c>
      <c r="F48" s="4" t="str">
        <f>IF(D48=0,"Nei","Ja")</f>
        <v>Ja</v>
      </c>
      <c r="G48" t="s">
        <v>12</v>
      </c>
      <c r="H48" s="4" t="s">
        <v>11</v>
      </c>
      <c r="I48" t="str">
        <f>IF($B48="","",LOWER($B48)&amp;"|"&amp;TEXT(ROW(),"0000"))</f>
        <v>gem rough|0048</v>
      </c>
      <c r="J48">
        <f>IF(I48="","",COUNTIF($I$2:$I$501,"&lt;="&amp;I48))</f>
        <v>372</v>
      </c>
      <c r="K48" s="4" t="s">
        <v>109</v>
      </c>
    </row>
    <row r="49" spans="1:11" x14ac:dyDescent="0.35">
      <c r="A49" t="s">
        <v>43</v>
      </c>
      <c r="B49" t="s">
        <v>117</v>
      </c>
      <c r="C49" t="s">
        <v>17</v>
      </c>
      <c r="D49">
        <v>0</v>
      </c>
      <c r="E49" s="4" t="s">
        <v>109</v>
      </c>
      <c r="F49" s="4" t="str">
        <f>IF(D49=0,"Nei","Ja")</f>
        <v>Nei</v>
      </c>
      <c r="G49" t="s">
        <v>12</v>
      </c>
      <c r="H49" s="4" t="s">
        <v>11</v>
      </c>
      <c r="I49" t="str">
        <f>IF($B49="","",LOWER($B49)&amp;"|"&amp;TEXT(ROW(),"0000"))</f>
        <v>gem rough|0049</v>
      </c>
      <c r="J49">
        <f>IF(I49="","",COUNTIF($I$2:$I$501,"&lt;="&amp;I49))</f>
        <v>373</v>
      </c>
      <c r="K49" s="4" t="s">
        <v>109</v>
      </c>
    </row>
    <row r="50" spans="1:11" x14ac:dyDescent="0.35">
      <c r="A50" t="s">
        <v>43</v>
      </c>
      <c r="B50" t="s">
        <v>117</v>
      </c>
      <c r="C50" t="s">
        <v>18</v>
      </c>
      <c r="D50">
        <v>6</v>
      </c>
      <c r="E50" s="4" t="s">
        <v>109</v>
      </c>
      <c r="F50" s="4" t="str">
        <f>IF(D50=0,"Nei","Ja")</f>
        <v>Ja</v>
      </c>
      <c r="G50" t="s">
        <v>12</v>
      </c>
      <c r="H50" s="4" t="s">
        <v>11</v>
      </c>
      <c r="I50" t="str">
        <f>IF($B50="","",LOWER($B50)&amp;"|"&amp;TEXT(ROW(),"0000"))</f>
        <v>gem rough|0050</v>
      </c>
      <c r="J50">
        <f>IF(I50="","",COUNTIF($I$2:$I$501,"&lt;="&amp;I50))</f>
        <v>374</v>
      </c>
      <c r="K50" s="4" t="s">
        <v>109</v>
      </c>
    </row>
    <row r="51" spans="1:11" x14ac:dyDescent="0.35">
      <c r="A51" t="s">
        <v>43</v>
      </c>
      <c r="B51" t="s">
        <v>117</v>
      </c>
      <c r="C51" t="s">
        <v>19</v>
      </c>
      <c r="D51">
        <v>0</v>
      </c>
      <c r="E51" s="4" t="s">
        <v>109</v>
      </c>
      <c r="F51" s="4" t="str">
        <f>IF(D51=0,"Nei","Ja")</f>
        <v>Nei</v>
      </c>
      <c r="G51" t="s">
        <v>12</v>
      </c>
      <c r="H51" s="4" t="s">
        <v>11</v>
      </c>
      <c r="I51" t="str">
        <f>IF($B51="","",LOWER($B51)&amp;"|"&amp;TEXT(ROW(),"0000"))</f>
        <v>gem rough|0051</v>
      </c>
      <c r="J51">
        <f>IF(I51="","",COUNTIF($I$2:$I$501,"&lt;="&amp;I51))</f>
        <v>375</v>
      </c>
      <c r="K51" s="4" t="s">
        <v>109</v>
      </c>
    </row>
    <row r="52" spans="1:11" x14ac:dyDescent="0.35">
      <c r="A52" t="s">
        <v>43</v>
      </c>
      <c r="B52" t="s">
        <v>117</v>
      </c>
      <c r="C52" t="s">
        <v>20</v>
      </c>
      <c r="D52">
        <v>0</v>
      </c>
      <c r="E52" s="4" t="s">
        <v>109</v>
      </c>
      <c r="F52" s="4" t="str">
        <f>IF(D52=0,"Nei","Ja")</f>
        <v>Nei</v>
      </c>
      <c r="G52" t="s">
        <v>12</v>
      </c>
      <c r="H52" s="4" t="s">
        <v>11</v>
      </c>
      <c r="I52" t="str">
        <f>IF($B52="","",LOWER($B52)&amp;"|"&amp;TEXT(ROW(),"0000"))</f>
        <v>gem rough|0052</v>
      </c>
      <c r="J52">
        <f>IF(I52="","",COUNTIF($I$2:$I$501,"&lt;="&amp;I52))</f>
        <v>376</v>
      </c>
      <c r="K52" s="4" t="s">
        <v>109</v>
      </c>
    </row>
    <row r="53" spans="1:11" x14ac:dyDescent="0.35">
      <c r="A53" t="s">
        <v>13</v>
      </c>
      <c r="B53" t="s">
        <v>45</v>
      </c>
      <c r="C53" t="s">
        <v>10</v>
      </c>
      <c r="D53">
        <v>0</v>
      </c>
      <c r="E53" s="4" t="s">
        <v>11</v>
      </c>
      <c r="F53" s="4" t="str">
        <f>IF(D53=0,"Nei","Ja")</f>
        <v>Nei</v>
      </c>
      <c r="G53" t="s">
        <v>12</v>
      </c>
      <c r="H53" s="4" t="s">
        <v>11</v>
      </c>
      <c r="I53" t="str">
        <f>IF($B53="","",LOWER($B53)&amp;"|"&amp;TEXT(ROW(),"0000"))</f>
        <v>hammer head|0053</v>
      </c>
      <c r="J53">
        <f>IF(I53="","",COUNTIF($I$2:$I$501,"&lt;="&amp;I53))</f>
        <v>380</v>
      </c>
      <c r="K53" s="4" t="s">
        <v>11</v>
      </c>
    </row>
    <row r="54" spans="1:11" x14ac:dyDescent="0.35">
      <c r="A54" t="s">
        <v>13</v>
      </c>
      <c r="B54" t="s">
        <v>46</v>
      </c>
      <c r="C54" t="s">
        <v>10</v>
      </c>
      <c r="D54">
        <v>0</v>
      </c>
      <c r="E54" s="4" t="s">
        <v>11</v>
      </c>
      <c r="F54" s="4" t="str">
        <f>IF(D54=0,"Nei","Ja")</f>
        <v>Nei</v>
      </c>
      <c r="G54" t="s">
        <v>12</v>
      </c>
      <c r="H54" s="4" t="s">
        <v>11</v>
      </c>
      <c r="I54" t="str">
        <f>IF($B54="","",LOWER($B54)&amp;"|"&amp;TEXT(ROW(),"0000"))</f>
        <v>hoe head|0054</v>
      </c>
      <c r="J54">
        <f>IF(I54="","",COUNTIF($I$2:$I$501,"&lt;="&amp;I54))</f>
        <v>381</v>
      </c>
      <c r="K54" s="4" t="s">
        <v>11</v>
      </c>
    </row>
    <row r="55" spans="1:11" x14ac:dyDescent="0.35">
      <c r="A55" t="s">
        <v>15</v>
      </c>
      <c r="B55" t="s">
        <v>47</v>
      </c>
      <c r="C55" t="s">
        <v>94</v>
      </c>
      <c r="D55">
        <v>5</v>
      </c>
      <c r="E55" s="4" t="s">
        <v>22</v>
      </c>
      <c r="F55" s="4" t="str">
        <f>IF(D55=0,"Nei","Ja")</f>
        <v>Ja</v>
      </c>
      <c r="G55" t="s">
        <v>12</v>
      </c>
      <c r="H55" s="4" t="s">
        <v>11</v>
      </c>
      <c r="I55" t="str">
        <f>IF($B55="","",LOWER($B55)&amp;"|"&amp;TEXT(ROW(),"0000"))</f>
        <v>ingot|0055</v>
      </c>
      <c r="J55">
        <f>IF(I55="","",COUNTIF($I$2:$I$501,"&lt;="&amp;I55))</f>
        <v>384</v>
      </c>
      <c r="K55" s="7" t="s">
        <v>22</v>
      </c>
    </row>
    <row r="56" spans="1:11" x14ac:dyDescent="0.35">
      <c r="A56" t="s">
        <v>15</v>
      </c>
      <c r="B56" t="s">
        <v>119</v>
      </c>
      <c r="C56" t="s">
        <v>10</v>
      </c>
      <c r="D56">
        <v>4</v>
      </c>
      <c r="E56" s="4" t="s">
        <v>109</v>
      </c>
      <c r="F56" s="4" t="str">
        <f>IF(D56=0,"Nei","Ja")</f>
        <v>Ja</v>
      </c>
      <c r="G56" t="s">
        <v>12</v>
      </c>
      <c r="H56" s="4" t="s">
        <v>11</v>
      </c>
      <c r="I56" t="str">
        <f>IF($B56="","",LOWER($B56)&amp;"|"&amp;TEXT(ROW(),"0000"))</f>
        <v>ingot double|0056</v>
      </c>
      <c r="J56">
        <f>IF(I56="","",COUNTIF($I$2:$I$501,"&lt;="&amp;I56))</f>
        <v>382</v>
      </c>
      <c r="K56" s="4" t="s">
        <v>109</v>
      </c>
    </row>
    <row r="57" spans="1:11" x14ac:dyDescent="0.35">
      <c r="A57" t="s">
        <v>15</v>
      </c>
      <c r="B57" t="s">
        <v>118</v>
      </c>
      <c r="C57" t="s">
        <v>94</v>
      </c>
      <c r="D57">
        <v>3</v>
      </c>
      <c r="E57" s="4" t="s">
        <v>109</v>
      </c>
      <c r="F57" s="4" t="str">
        <f>IF(D57=0,"Nei","Ja")</f>
        <v>Ja</v>
      </c>
      <c r="G57" t="s">
        <v>12</v>
      </c>
      <c r="H57" s="4" t="s">
        <v>11</v>
      </c>
      <c r="I57" t="str">
        <f>IF($B57="","",LOWER($B57)&amp;"|"&amp;TEXT(ROW(),"0000"))</f>
        <v>ingot hot|0057</v>
      </c>
      <c r="J57">
        <f>IF(I57="","",COUNTIF($I$2:$I$501,"&lt;="&amp;I57))</f>
        <v>383</v>
      </c>
      <c r="K57" s="4" t="s">
        <v>109</v>
      </c>
    </row>
    <row r="58" spans="1:11" x14ac:dyDescent="0.35">
      <c r="A58" t="s">
        <v>13</v>
      </c>
      <c r="B58" t="s">
        <v>48</v>
      </c>
      <c r="C58" t="s">
        <v>10</v>
      </c>
      <c r="D58">
        <v>0</v>
      </c>
      <c r="E58" s="4" t="s">
        <v>11</v>
      </c>
      <c r="F58" s="4" t="str">
        <f>IF(D58=0,"Nei","Ja")</f>
        <v>Nei</v>
      </c>
      <c r="G58" t="s">
        <v>12</v>
      </c>
      <c r="H58" s="4" t="s">
        <v>11</v>
      </c>
      <c r="I58" t="str">
        <f>IF($B58="","",LOWER($B58)&amp;"|"&amp;TEXT(ROW(),"0000"))</f>
        <v>knife blade|0058</v>
      </c>
      <c r="J58">
        <f>IF(I58="","",COUNTIF($I$2:$I$501,"&lt;="&amp;I58))</f>
        <v>385</v>
      </c>
      <c r="K58" s="4" t="s">
        <v>11</v>
      </c>
    </row>
    <row r="59" spans="1:11" x14ac:dyDescent="0.35">
      <c r="A59" t="s">
        <v>15</v>
      </c>
      <c r="B59" t="s">
        <v>49</v>
      </c>
      <c r="C59" t="s">
        <v>94</v>
      </c>
      <c r="D59">
        <v>1</v>
      </c>
      <c r="E59" s="4" t="s">
        <v>109</v>
      </c>
      <c r="F59" s="4" t="str">
        <f>IF(D59=0,"Nei","Ja")</f>
        <v>Ja</v>
      </c>
      <c r="G59" t="s">
        <v>12</v>
      </c>
      <c r="H59" s="4" t="s">
        <v>11</v>
      </c>
      <c r="I59" t="str">
        <f>IF($B59="","",LOWER($B59)&amp;"|"&amp;TEXT(ROW(),"0000"))</f>
        <v>lens|0059</v>
      </c>
      <c r="J59">
        <f>IF(I59="","",COUNTIF($I$2:$I$501,"&lt;="&amp;I59))</f>
        <v>386</v>
      </c>
      <c r="K59" s="4" t="s">
        <v>109</v>
      </c>
    </row>
    <row r="60" spans="1:11" x14ac:dyDescent="0.35">
      <c r="A60" t="s">
        <v>40</v>
      </c>
      <c r="B60" t="s">
        <v>50</v>
      </c>
      <c r="C60" t="s">
        <v>10</v>
      </c>
      <c r="D60">
        <v>1</v>
      </c>
      <c r="E60" s="4" t="s">
        <v>109</v>
      </c>
      <c r="F60" s="4" t="str">
        <f>IF(D60=0,"Nei","Ja")</f>
        <v>Ja</v>
      </c>
      <c r="G60" t="s">
        <v>12</v>
      </c>
      <c r="H60" s="4" t="s">
        <v>11</v>
      </c>
      <c r="I60" t="str">
        <f>IF($B60="","",LOWER($B60)&amp;"|"&amp;TEXT(ROW(),"0000"))</f>
        <v>liquid|0060</v>
      </c>
      <c r="J60">
        <f>IF(I60="","",COUNTIF($I$2:$I$501,"&lt;="&amp;I60))</f>
        <v>387</v>
      </c>
      <c r="K60" s="4" t="s">
        <v>109</v>
      </c>
    </row>
    <row r="61" spans="1:11" x14ac:dyDescent="0.35">
      <c r="A61" t="s">
        <v>113</v>
      </c>
      <c r="B61" t="s">
        <v>112</v>
      </c>
      <c r="C61" t="s">
        <v>10</v>
      </c>
      <c r="D61">
        <v>0</v>
      </c>
      <c r="E61" s="4" t="s">
        <v>114</v>
      </c>
      <c r="F61" s="4" t="str">
        <f>IF(D61=0,"Nei","Ja")</f>
        <v>Nei</v>
      </c>
      <c r="G61" t="s">
        <v>12</v>
      </c>
      <c r="H61" s="4" t="s">
        <v>11</v>
      </c>
      <c r="I61" t="str">
        <f>IF($B61="","",LOWER($B61)&amp;"|"&amp;TEXT(ROW(),"0000"))</f>
        <v>magnetic|0061</v>
      </c>
      <c r="J61">
        <f>IF(I61="","",COUNTIF($I$2:$I$501,"&lt;="&amp;I61))</f>
        <v>388</v>
      </c>
      <c r="K61" s="4" t="s">
        <v>109</v>
      </c>
    </row>
    <row r="62" spans="1:11" x14ac:dyDescent="0.35">
      <c r="A62" t="s">
        <v>13</v>
      </c>
      <c r="B62" t="s">
        <v>51</v>
      </c>
      <c r="C62" t="s">
        <v>10</v>
      </c>
      <c r="D62">
        <v>0</v>
      </c>
      <c r="E62" s="4" t="s">
        <v>11</v>
      </c>
      <c r="F62" s="4" t="str">
        <f>IF(D62=0,"Nei","Ja")</f>
        <v>Nei</v>
      </c>
      <c r="G62" t="s">
        <v>12</v>
      </c>
      <c r="H62" s="4" t="s">
        <v>11</v>
      </c>
      <c r="I62" t="str">
        <f>IF($B62="","",LOWER($B62)&amp;"|"&amp;TEXT(ROW(),"0000"))</f>
        <v>mallet head|0062</v>
      </c>
      <c r="J62">
        <f>IF(I62="","",COUNTIF($I$2:$I$501,"&lt;="&amp;I62))</f>
        <v>389</v>
      </c>
      <c r="K62" s="4" t="s">
        <v>11</v>
      </c>
    </row>
    <row r="63" spans="1:11" x14ac:dyDescent="0.35">
      <c r="A63" t="s">
        <v>40</v>
      </c>
      <c r="B63" t="s">
        <v>52</v>
      </c>
      <c r="C63" t="s">
        <v>10</v>
      </c>
      <c r="D63">
        <v>2</v>
      </c>
      <c r="E63" s="4" t="s">
        <v>109</v>
      </c>
      <c r="F63" s="4" t="str">
        <f>IF(D63=0,"Nei","Ja")</f>
        <v>Ja</v>
      </c>
      <c r="G63" t="s">
        <v>12</v>
      </c>
      <c r="H63" s="4" t="s">
        <v>11</v>
      </c>
      <c r="I63" t="str">
        <f>IF($B63="","",LOWER($B63)&amp;"|"&amp;TEXT(ROW(),"0000"))</f>
        <v>molten|0063</v>
      </c>
      <c r="J63">
        <f>IF(I63="","",COUNTIF($I$2:$I$501,"&lt;="&amp;I63))</f>
        <v>390</v>
      </c>
      <c r="K63" s="4" t="s">
        <v>109</v>
      </c>
    </row>
    <row r="64" spans="1:11" x14ac:dyDescent="0.35">
      <c r="A64" t="s">
        <v>28</v>
      </c>
      <c r="B64" t="s">
        <v>53</v>
      </c>
      <c r="C64" t="s">
        <v>16</v>
      </c>
      <c r="D64">
        <v>0</v>
      </c>
      <c r="E64" s="4" t="s">
        <v>109</v>
      </c>
      <c r="F64" s="4" t="str">
        <f>IF(D64=0,"Nei","Ja")</f>
        <v>Nei</v>
      </c>
      <c r="G64" t="s">
        <v>12</v>
      </c>
      <c r="H64" s="4" t="s">
        <v>11</v>
      </c>
      <c r="I64" t="str">
        <f>IF($B64="","",LOWER($B64)&amp;"|"&amp;TEXT(ROW(),"0000"))</f>
        <v>motor|0064</v>
      </c>
      <c r="J64">
        <f>IF(I64="","",COUNTIF($I$2:$I$501,"&lt;="&amp;I64))</f>
        <v>411</v>
      </c>
      <c r="K64" s="4" t="s">
        <v>109</v>
      </c>
    </row>
    <row r="65" spans="1:11" x14ac:dyDescent="0.35">
      <c r="A65" t="s">
        <v>28</v>
      </c>
      <c r="B65" t="s">
        <v>53</v>
      </c>
      <c r="C65" t="s">
        <v>17</v>
      </c>
      <c r="D65">
        <v>0</v>
      </c>
      <c r="E65" s="4" t="s">
        <v>109</v>
      </c>
      <c r="F65" s="4" t="str">
        <f>IF(D65=0,"Nei","Ja")</f>
        <v>Nei</v>
      </c>
      <c r="G65" t="s">
        <v>12</v>
      </c>
      <c r="H65" s="4" t="s">
        <v>11</v>
      </c>
      <c r="I65" t="str">
        <f>IF($B65="","",LOWER($B65)&amp;"|"&amp;TEXT(ROW(),"0000"))</f>
        <v>motor|0065</v>
      </c>
      <c r="J65">
        <f>IF(I65="","",COUNTIF($I$2:$I$501,"&lt;="&amp;I65))</f>
        <v>412</v>
      </c>
      <c r="K65" s="4" t="s">
        <v>109</v>
      </c>
    </row>
    <row r="66" spans="1:11" x14ac:dyDescent="0.35">
      <c r="A66" t="s">
        <v>28</v>
      </c>
      <c r="B66" t="s">
        <v>53</v>
      </c>
      <c r="C66" t="s">
        <v>18</v>
      </c>
      <c r="D66">
        <v>0</v>
      </c>
      <c r="E66" s="4" t="s">
        <v>109</v>
      </c>
      <c r="F66" s="4" t="str">
        <f>IF(D66=0,"Nei","Ja")</f>
        <v>Nei</v>
      </c>
      <c r="G66" t="s">
        <v>12</v>
      </c>
      <c r="H66" s="4" t="s">
        <v>11</v>
      </c>
      <c r="I66" t="str">
        <f>IF($B66="","",LOWER($B66)&amp;"|"&amp;TEXT(ROW(),"0000"))</f>
        <v>motor|0066</v>
      </c>
      <c r="J66">
        <f>IF(I66="","",COUNTIF($I$2:$I$501,"&lt;="&amp;I66))</f>
        <v>413</v>
      </c>
      <c r="K66" s="4" t="s">
        <v>109</v>
      </c>
    </row>
    <row r="67" spans="1:11" x14ac:dyDescent="0.35">
      <c r="A67" t="s">
        <v>28</v>
      </c>
      <c r="B67" t="s">
        <v>53</v>
      </c>
      <c r="C67" t="s">
        <v>19</v>
      </c>
      <c r="D67">
        <v>0</v>
      </c>
      <c r="E67" s="4" t="s">
        <v>109</v>
      </c>
      <c r="F67" s="4" t="str">
        <f>IF(D67=0,"Nei","Ja")</f>
        <v>Nei</v>
      </c>
      <c r="G67" t="s">
        <v>12</v>
      </c>
      <c r="H67" s="4" t="s">
        <v>11</v>
      </c>
      <c r="I67" t="str">
        <f>IF($B67="","",LOWER($B67)&amp;"|"&amp;TEXT(ROW(),"0000"))</f>
        <v>motor|0067</v>
      </c>
      <c r="J67">
        <f>IF(I67="","",COUNTIF($I$2:$I$501,"&lt;="&amp;I67))</f>
        <v>414</v>
      </c>
      <c r="K67" s="4" t="s">
        <v>109</v>
      </c>
    </row>
    <row r="68" spans="1:11" x14ac:dyDescent="0.35">
      <c r="A68" t="s">
        <v>28</v>
      </c>
      <c r="B68" t="s">
        <v>53</v>
      </c>
      <c r="C68" t="s">
        <v>20</v>
      </c>
      <c r="D68">
        <v>0</v>
      </c>
      <c r="E68" s="4" t="s">
        <v>109</v>
      </c>
      <c r="F68" s="4" t="str">
        <f>IF(D68=0,"Nei","Ja")</f>
        <v>Nei</v>
      </c>
      <c r="G68" t="s">
        <v>12</v>
      </c>
      <c r="H68" s="4" t="s">
        <v>11</v>
      </c>
      <c r="I68" t="str">
        <f>IF($B68="","",LOWER($B68)&amp;"|"&amp;TEXT(ROW(),"0000"))</f>
        <v>motor|0068</v>
      </c>
      <c r="J68">
        <f>IF(I68="","",COUNTIF($I$2:$I$501,"&lt;="&amp;I68))</f>
        <v>415</v>
      </c>
      <c r="K68" s="4" t="s">
        <v>109</v>
      </c>
    </row>
    <row r="69" spans="1:11" x14ac:dyDescent="0.35">
      <c r="A69" t="s">
        <v>28</v>
      </c>
      <c r="B69" t="s">
        <v>54</v>
      </c>
      <c r="C69" t="s">
        <v>16</v>
      </c>
      <c r="D69">
        <v>0</v>
      </c>
      <c r="E69" s="4" t="s">
        <v>109</v>
      </c>
      <c r="F69" s="4" t="str">
        <f>IF(D69=0,"Nei","Ja")</f>
        <v>Nei</v>
      </c>
      <c r="G69" t="s">
        <v>12</v>
      </c>
      <c r="H69" s="4" t="s">
        <v>11</v>
      </c>
      <c r="I69" t="str">
        <f>IF($B69="","",LOWER($B69)&amp;"|"&amp;TEXT(ROW(),"0000"))</f>
        <v>motor armature|0069</v>
      </c>
      <c r="J69">
        <f>IF(I69="","",COUNTIF($I$2:$I$501,"&lt;="&amp;I69))</f>
        <v>391</v>
      </c>
      <c r="K69" s="4" t="s">
        <v>109</v>
      </c>
    </row>
    <row r="70" spans="1:11" x14ac:dyDescent="0.35">
      <c r="A70" t="s">
        <v>28</v>
      </c>
      <c r="B70" t="s">
        <v>54</v>
      </c>
      <c r="C70" t="s">
        <v>17</v>
      </c>
      <c r="D70">
        <v>0</v>
      </c>
      <c r="E70" s="4" t="s">
        <v>109</v>
      </c>
      <c r="F70" s="4" t="str">
        <f>IF(D70=0,"Nei","Ja")</f>
        <v>Nei</v>
      </c>
      <c r="G70" t="s">
        <v>12</v>
      </c>
      <c r="H70" s="4" t="s">
        <v>11</v>
      </c>
      <c r="I70" t="str">
        <f>IF($B70="","",LOWER($B70)&amp;"|"&amp;TEXT(ROW(),"0000"))</f>
        <v>motor armature|0070</v>
      </c>
      <c r="J70">
        <f>IF(I70="","",COUNTIF($I$2:$I$501,"&lt;="&amp;I70))</f>
        <v>392</v>
      </c>
      <c r="K70" s="4" t="s">
        <v>109</v>
      </c>
    </row>
    <row r="71" spans="1:11" x14ac:dyDescent="0.35">
      <c r="A71" t="s">
        <v>28</v>
      </c>
      <c r="B71" t="s">
        <v>54</v>
      </c>
      <c r="C71" t="s">
        <v>18</v>
      </c>
      <c r="D71">
        <v>0</v>
      </c>
      <c r="E71" s="4" t="s">
        <v>109</v>
      </c>
      <c r="F71" s="4" t="str">
        <f>IF(D71=0,"Nei","Ja")</f>
        <v>Nei</v>
      </c>
      <c r="G71" t="s">
        <v>12</v>
      </c>
      <c r="H71" s="4" t="s">
        <v>11</v>
      </c>
      <c r="I71" t="str">
        <f>IF($B71="","",LOWER($B71)&amp;"|"&amp;TEXT(ROW(),"0000"))</f>
        <v>motor armature|0071</v>
      </c>
      <c r="J71">
        <f>IF(I71="","",COUNTIF($I$2:$I$501,"&lt;="&amp;I71))</f>
        <v>393</v>
      </c>
      <c r="K71" s="4" t="s">
        <v>109</v>
      </c>
    </row>
    <row r="72" spans="1:11" x14ac:dyDescent="0.35">
      <c r="A72" t="s">
        <v>28</v>
      </c>
      <c r="B72" t="s">
        <v>54</v>
      </c>
      <c r="C72" t="s">
        <v>19</v>
      </c>
      <c r="D72">
        <v>0</v>
      </c>
      <c r="E72" s="4" t="s">
        <v>109</v>
      </c>
      <c r="F72" s="4" t="str">
        <f>IF(D72=0,"Nei","Ja")</f>
        <v>Nei</v>
      </c>
      <c r="G72" t="s">
        <v>12</v>
      </c>
      <c r="H72" s="4" t="s">
        <v>11</v>
      </c>
      <c r="I72" t="str">
        <f>IF($B72="","",LOWER($B72)&amp;"|"&amp;TEXT(ROW(),"0000"))</f>
        <v>motor armature|0072</v>
      </c>
      <c r="J72">
        <f>IF(I72="","",COUNTIF($I$2:$I$501,"&lt;="&amp;I72))</f>
        <v>394</v>
      </c>
      <c r="K72" s="4" t="s">
        <v>109</v>
      </c>
    </row>
    <row r="73" spans="1:11" x14ac:dyDescent="0.35">
      <c r="A73" t="s">
        <v>28</v>
      </c>
      <c r="B73" t="s">
        <v>54</v>
      </c>
      <c r="C73" t="s">
        <v>20</v>
      </c>
      <c r="D73">
        <v>0</v>
      </c>
      <c r="E73" s="4" t="s">
        <v>109</v>
      </c>
      <c r="F73" s="4" t="str">
        <f>IF(D73=0,"Nei","Ja")</f>
        <v>Nei</v>
      </c>
      <c r="G73" t="s">
        <v>12</v>
      </c>
      <c r="H73" s="4" t="s">
        <v>11</v>
      </c>
      <c r="I73" t="str">
        <f>IF($B73="","",LOWER($B73)&amp;"|"&amp;TEXT(ROW(),"0000"))</f>
        <v>motor armature|0073</v>
      </c>
      <c r="J73">
        <f>IF(I73="","",COUNTIF($I$2:$I$501,"&lt;="&amp;I73))</f>
        <v>395</v>
      </c>
      <c r="K73" s="4" t="s">
        <v>109</v>
      </c>
    </row>
    <row r="74" spans="1:11" x14ac:dyDescent="0.35">
      <c r="A74" t="s">
        <v>28</v>
      </c>
      <c r="B74" t="s">
        <v>55</v>
      </c>
      <c r="C74" t="s">
        <v>16</v>
      </c>
      <c r="D74">
        <v>0</v>
      </c>
      <c r="E74" s="4" t="s">
        <v>109</v>
      </c>
      <c r="F74" s="4" t="str">
        <f>IF(D74=0,"Nei","Ja")</f>
        <v>Nei</v>
      </c>
      <c r="G74" t="s">
        <v>12</v>
      </c>
      <c r="H74" s="4" t="s">
        <v>11</v>
      </c>
      <c r="I74" t="str">
        <f>IF($B74="","",LOWER($B74)&amp;"|"&amp;TEXT(ROW(),"0000"))</f>
        <v>motor coil|0074</v>
      </c>
      <c r="J74">
        <f>IF(I74="","",COUNTIF($I$2:$I$501,"&lt;="&amp;I74))</f>
        <v>396</v>
      </c>
      <c r="K74" s="4" t="s">
        <v>109</v>
      </c>
    </row>
    <row r="75" spans="1:11" x14ac:dyDescent="0.35">
      <c r="A75" t="s">
        <v>28</v>
      </c>
      <c r="B75" t="s">
        <v>55</v>
      </c>
      <c r="C75" t="s">
        <v>17</v>
      </c>
      <c r="D75">
        <v>0</v>
      </c>
      <c r="E75" s="4" t="s">
        <v>109</v>
      </c>
      <c r="F75" s="4" t="str">
        <f>IF(D75=0,"Nei","Ja")</f>
        <v>Nei</v>
      </c>
      <c r="G75" t="s">
        <v>12</v>
      </c>
      <c r="H75" s="4" t="s">
        <v>11</v>
      </c>
      <c r="I75" t="str">
        <f>IF($B75="","",LOWER($B75)&amp;"|"&amp;TEXT(ROW(),"0000"))</f>
        <v>motor coil|0075</v>
      </c>
      <c r="J75">
        <f>IF(I75="","",COUNTIF($I$2:$I$501,"&lt;="&amp;I75))</f>
        <v>397</v>
      </c>
      <c r="K75" s="4" t="s">
        <v>109</v>
      </c>
    </row>
    <row r="76" spans="1:11" x14ac:dyDescent="0.35">
      <c r="A76" t="s">
        <v>28</v>
      </c>
      <c r="B76" t="s">
        <v>55</v>
      </c>
      <c r="C76" t="s">
        <v>18</v>
      </c>
      <c r="D76">
        <v>0</v>
      </c>
      <c r="E76" s="4" t="s">
        <v>109</v>
      </c>
      <c r="F76" s="4" t="str">
        <f>IF(D76=0,"Nei","Ja")</f>
        <v>Nei</v>
      </c>
      <c r="G76" t="s">
        <v>12</v>
      </c>
      <c r="H76" s="4" t="s">
        <v>11</v>
      </c>
      <c r="I76" t="str">
        <f>IF($B76="","",LOWER($B76)&amp;"|"&amp;TEXT(ROW(),"0000"))</f>
        <v>motor coil|0076</v>
      </c>
      <c r="J76">
        <f>IF(I76="","",COUNTIF($I$2:$I$501,"&lt;="&amp;I76))</f>
        <v>398</v>
      </c>
      <c r="K76" s="4" t="s">
        <v>109</v>
      </c>
    </row>
    <row r="77" spans="1:11" x14ac:dyDescent="0.35">
      <c r="A77" t="s">
        <v>28</v>
      </c>
      <c r="B77" t="s">
        <v>55</v>
      </c>
      <c r="C77" t="s">
        <v>19</v>
      </c>
      <c r="D77">
        <v>0</v>
      </c>
      <c r="E77" s="4" t="s">
        <v>109</v>
      </c>
      <c r="F77" s="4" t="str">
        <f>IF(D77=0,"Nei","Ja")</f>
        <v>Nei</v>
      </c>
      <c r="G77" t="s">
        <v>12</v>
      </c>
      <c r="H77" s="4" t="s">
        <v>11</v>
      </c>
      <c r="I77" t="str">
        <f>IF($B77="","",LOWER($B77)&amp;"|"&amp;TEXT(ROW(),"0000"))</f>
        <v>motor coil|0077</v>
      </c>
      <c r="J77">
        <f>IF(I77="","",COUNTIF($I$2:$I$501,"&lt;="&amp;I77))</f>
        <v>399</v>
      </c>
      <c r="K77" s="4" t="s">
        <v>109</v>
      </c>
    </row>
    <row r="78" spans="1:11" x14ac:dyDescent="0.35">
      <c r="A78" t="s">
        <v>28</v>
      </c>
      <c r="B78" t="s">
        <v>55</v>
      </c>
      <c r="C78" t="s">
        <v>20</v>
      </c>
      <c r="D78">
        <v>0</v>
      </c>
      <c r="E78" s="4" t="s">
        <v>109</v>
      </c>
      <c r="F78" s="4" t="str">
        <f>IF(D78=0,"Nei","Ja")</f>
        <v>Nei</v>
      </c>
      <c r="G78" t="s">
        <v>12</v>
      </c>
      <c r="H78" s="4" t="s">
        <v>11</v>
      </c>
      <c r="I78" t="str">
        <f>IF($B78="","",LOWER($B78)&amp;"|"&amp;TEXT(ROW(),"0000"))</f>
        <v>motor coil|0078</v>
      </c>
      <c r="J78">
        <f>IF(I78="","",COUNTIF($I$2:$I$501,"&lt;="&amp;I78))</f>
        <v>400</v>
      </c>
      <c r="K78" s="4" t="s">
        <v>109</v>
      </c>
    </row>
    <row r="79" spans="1:11" x14ac:dyDescent="0.35">
      <c r="A79" t="s">
        <v>28</v>
      </c>
      <c r="B79" t="s">
        <v>56</v>
      </c>
      <c r="C79" t="s">
        <v>16</v>
      </c>
      <c r="D79">
        <v>0</v>
      </c>
      <c r="E79" s="4" t="s">
        <v>109</v>
      </c>
      <c r="F79" s="4" t="str">
        <f>IF(D79=0,"Nei","Ja")</f>
        <v>Nei</v>
      </c>
      <c r="G79" t="s">
        <v>12</v>
      </c>
      <c r="H79" s="4" t="s">
        <v>11</v>
      </c>
      <c r="I79" t="str">
        <f>IF($B79="","",LOWER($B79)&amp;"|"&amp;TEXT(ROW(),"0000"))</f>
        <v>motor housing|0079</v>
      </c>
      <c r="J79">
        <f>IF(I79="","",COUNTIF($I$2:$I$501,"&lt;="&amp;I79))</f>
        <v>401</v>
      </c>
      <c r="K79" s="4" t="s">
        <v>109</v>
      </c>
    </row>
    <row r="80" spans="1:11" x14ac:dyDescent="0.35">
      <c r="A80" t="s">
        <v>28</v>
      </c>
      <c r="B80" t="s">
        <v>56</v>
      </c>
      <c r="C80" t="s">
        <v>17</v>
      </c>
      <c r="D80">
        <v>0</v>
      </c>
      <c r="E80" s="4" t="s">
        <v>109</v>
      </c>
      <c r="F80" s="4" t="str">
        <f>IF(D80=0,"Nei","Ja")</f>
        <v>Nei</v>
      </c>
      <c r="G80" t="s">
        <v>12</v>
      </c>
      <c r="H80" s="4" t="s">
        <v>11</v>
      </c>
      <c r="I80" t="str">
        <f>IF($B80="","",LOWER($B80)&amp;"|"&amp;TEXT(ROW(),"0000"))</f>
        <v>motor housing|0080</v>
      </c>
      <c r="J80">
        <f>IF(I80="","",COUNTIF($I$2:$I$501,"&lt;="&amp;I80))</f>
        <v>402</v>
      </c>
      <c r="K80" s="4" t="s">
        <v>109</v>
      </c>
    </row>
    <row r="81" spans="1:11" x14ac:dyDescent="0.35">
      <c r="A81" t="s">
        <v>28</v>
      </c>
      <c r="B81" t="s">
        <v>56</v>
      </c>
      <c r="C81" t="s">
        <v>18</v>
      </c>
      <c r="D81">
        <v>0</v>
      </c>
      <c r="E81" s="4" t="s">
        <v>109</v>
      </c>
      <c r="F81" s="4" t="str">
        <f>IF(D81=0,"Nei","Ja")</f>
        <v>Nei</v>
      </c>
      <c r="G81" t="s">
        <v>12</v>
      </c>
      <c r="H81" s="4" t="s">
        <v>11</v>
      </c>
      <c r="I81" t="str">
        <f>IF($B81="","",LOWER($B81)&amp;"|"&amp;TEXT(ROW(),"0000"))</f>
        <v>motor housing|0081</v>
      </c>
      <c r="J81">
        <f>IF(I81="","",COUNTIF($I$2:$I$501,"&lt;="&amp;I81))</f>
        <v>403</v>
      </c>
      <c r="K81" s="4" t="s">
        <v>109</v>
      </c>
    </row>
    <row r="82" spans="1:11" x14ac:dyDescent="0.35">
      <c r="A82" t="s">
        <v>28</v>
      </c>
      <c r="B82" t="s">
        <v>56</v>
      </c>
      <c r="C82" t="s">
        <v>19</v>
      </c>
      <c r="D82">
        <v>0</v>
      </c>
      <c r="E82" s="4" t="s">
        <v>109</v>
      </c>
      <c r="F82" s="4" t="str">
        <f>IF(D82=0,"Nei","Ja")</f>
        <v>Nei</v>
      </c>
      <c r="G82" t="s">
        <v>12</v>
      </c>
      <c r="H82" s="4" t="s">
        <v>11</v>
      </c>
      <c r="I82" t="str">
        <f>IF($B82="","",LOWER($B82)&amp;"|"&amp;TEXT(ROW(),"0000"))</f>
        <v>motor housing|0082</v>
      </c>
      <c r="J82">
        <f>IF(I82="","",COUNTIF($I$2:$I$501,"&lt;="&amp;I82))</f>
        <v>404</v>
      </c>
      <c r="K82" s="4" t="s">
        <v>109</v>
      </c>
    </row>
    <row r="83" spans="1:11" x14ac:dyDescent="0.35">
      <c r="A83" t="s">
        <v>28</v>
      </c>
      <c r="B83" t="s">
        <v>56</v>
      </c>
      <c r="C83" t="s">
        <v>20</v>
      </c>
      <c r="D83">
        <v>0</v>
      </c>
      <c r="E83" s="4" t="s">
        <v>109</v>
      </c>
      <c r="F83" s="4" t="str">
        <f>IF(D83=0,"Nei","Ja")</f>
        <v>Nei</v>
      </c>
      <c r="G83" t="s">
        <v>12</v>
      </c>
      <c r="H83" s="4" t="s">
        <v>11</v>
      </c>
      <c r="I83" t="str">
        <f>IF($B83="","",LOWER($B83)&amp;"|"&amp;TEXT(ROW(),"0000"))</f>
        <v>motor housing|0083</v>
      </c>
      <c r="J83">
        <f>IF(I83="","",COUNTIF($I$2:$I$501,"&lt;="&amp;I83))</f>
        <v>405</v>
      </c>
      <c r="K83" s="4" t="s">
        <v>109</v>
      </c>
    </row>
    <row r="84" spans="1:11" x14ac:dyDescent="0.35">
      <c r="A84" t="s">
        <v>28</v>
      </c>
      <c r="B84" t="s">
        <v>57</v>
      </c>
      <c r="C84" t="s">
        <v>16</v>
      </c>
      <c r="D84">
        <v>0</v>
      </c>
      <c r="E84" s="4" t="s">
        <v>109</v>
      </c>
      <c r="F84" s="4" t="str">
        <f>IF(D84=0,"Nei","Ja")</f>
        <v>Nei</v>
      </c>
      <c r="G84" t="s">
        <v>12</v>
      </c>
      <c r="H84" s="4" t="s">
        <v>11</v>
      </c>
      <c r="I84" t="str">
        <f>IF($B84="","",LOWER($B84)&amp;"|"&amp;TEXT(ROW(),"0000"))</f>
        <v>motor shaft|0084</v>
      </c>
      <c r="J84">
        <f>IF(I84="","",COUNTIF($I$2:$I$501,"&lt;="&amp;I84))</f>
        <v>406</v>
      </c>
      <c r="K84" s="4" t="s">
        <v>109</v>
      </c>
    </row>
    <row r="85" spans="1:11" x14ac:dyDescent="0.35">
      <c r="A85" t="s">
        <v>28</v>
      </c>
      <c r="B85" t="s">
        <v>57</v>
      </c>
      <c r="C85" t="s">
        <v>17</v>
      </c>
      <c r="D85">
        <v>0</v>
      </c>
      <c r="E85" s="4" t="s">
        <v>109</v>
      </c>
      <c r="F85" s="4" t="str">
        <f>IF(D85=0,"Nei","Ja")</f>
        <v>Nei</v>
      </c>
      <c r="G85" t="s">
        <v>12</v>
      </c>
      <c r="H85" s="4" t="s">
        <v>11</v>
      </c>
      <c r="I85" t="str">
        <f>IF($B85="","",LOWER($B85)&amp;"|"&amp;TEXT(ROW(),"0000"))</f>
        <v>motor shaft|0085</v>
      </c>
      <c r="J85">
        <f>IF(I85="","",COUNTIF($I$2:$I$501,"&lt;="&amp;I85))</f>
        <v>407</v>
      </c>
      <c r="K85" s="4" t="s">
        <v>109</v>
      </c>
    </row>
    <row r="86" spans="1:11" x14ac:dyDescent="0.35">
      <c r="A86" t="s">
        <v>28</v>
      </c>
      <c r="B86" t="s">
        <v>57</v>
      </c>
      <c r="C86" t="s">
        <v>18</v>
      </c>
      <c r="D86">
        <v>0</v>
      </c>
      <c r="E86" s="4" t="s">
        <v>109</v>
      </c>
      <c r="F86" s="4" t="str">
        <f>IF(D86=0,"Nei","Ja")</f>
        <v>Nei</v>
      </c>
      <c r="G86" t="s">
        <v>12</v>
      </c>
      <c r="H86" s="4" t="s">
        <v>11</v>
      </c>
      <c r="I86" t="str">
        <f>IF($B86="","",LOWER($B86)&amp;"|"&amp;TEXT(ROW(),"0000"))</f>
        <v>motor shaft|0086</v>
      </c>
      <c r="J86">
        <f>IF(I86="","",COUNTIF($I$2:$I$501,"&lt;="&amp;I86))</f>
        <v>408</v>
      </c>
      <c r="K86" s="4" t="s">
        <v>109</v>
      </c>
    </row>
    <row r="87" spans="1:11" x14ac:dyDescent="0.35">
      <c r="A87" t="s">
        <v>28</v>
      </c>
      <c r="B87" t="s">
        <v>57</v>
      </c>
      <c r="C87" t="s">
        <v>19</v>
      </c>
      <c r="D87">
        <v>0</v>
      </c>
      <c r="E87" s="4" t="s">
        <v>109</v>
      </c>
      <c r="F87" s="4" t="str">
        <f>IF(D87=0,"Nei","Ja")</f>
        <v>Nei</v>
      </c>
      <c r="G87" t="s">
        <v>12</v>
      </c>
      <c r="H87" s="4" t="s">
        <v>11</v>
      </c>
      <c r="I87" t="str">
        <f>IF($B87="","",LOWER($B87)&amp;"|"&amp;TEXT(ROW(),"0000"))</f>
        <v>motor shaft|0087</v>
      </c>
      <c r="J87">
        <f>IF(I87="","",COUNTIF($I$2:$I$501,"&lt;="&amp;I87))</f>
        <v>409</v>
      </c>
      <c r="K87" s="4" t="s">
        <v>109</v>
      </c>
    </row>
    <row r="88" spans="1:11" x14ac:dyDescent="0.35">
      <c r="A88" t="s">
        <v>28</v>
      </c>
      <c r="B88" t="s">
        <v>57</v>
      </c>
      <c r="C88" t="s">
        <v>20</v>
      </c>
      <c r="D88">
        <v>0</v>
      </c>
      <c r="E88" s="4" t="s">
        <v>109</v>
      </c>
      <c r="F88" s="4" t="str">
        <f>IF(D88=0,"Nei","Ja")</f>
        <v>Nei</v>
      </c>
      <c r="G88" t="s">
        <v>12</v>
      </c>
      <c r="H88" s="4" t="s">
        <v>11</v>
      </c>
      <c r="I88" t="str">
        <f>IF($B88="","",LOWER($B88)&amp;"|"&amp;TEXT(ROW(),"0000"))</f>
        <v>motor shaft|0088</v>
      </c>
      <c r="J88">
        <f>IF(I88="","",COUNTIF($I$2:$I$501,"&lt;="&amp;I88))</f>
        <v>410</v>
      </c>
      <c r="K88" s="4" t="s">
        <v>109</v>
      </c>
    </row>
    <row r="89" spans="1:11" x14ac:dyDescent="0.35">
      <c r="A89" t="s">
        <v>15</v>
      </c>
      <c r="B89" t="s">
        <v>58</v>
      </c>
      <c r="C89" t="s">
        <v>94</v>
      </c>
      <c r="D89">
        <v>6</v>
      </c>
      <c r="E89" s="4" t="s">
        <v>22</v>
      </c>
      <c r="F89" s="4" t="str">
        <f>IF(D89=0,"Nei","Ja")</f>
        <v>Ja</v>
      </c>
      <c r="G89" t="s">
        <v>12</v>
      </c>
      <c r="H89" s="4" t="s">
        <v>11</v>
      </c>
      <c r="I89" t="str">
        <f>IF($B89="","",LOWER($B89)&amp;"|"&amp;TEXT(ROW(),"0000"))</f>
        <v>nugget|0089</v>
      </c>
      <c r="J89">
        <f>IF(I89="","",COUNTIF($I$2:$I$501,"&lt;="&amp;I89))</f>
        <v>417</v>
      </c>
      <c r="K89" s="7" t="s">
        <v>22</v>
      </c>
    </row>
    <row r="90" spans="1:11" x14ac:dyDescent="0.35">
      <c r="A90" t="s">
        <v>15</v>
      </c>
      <c r="B90" t="s">
        <v>120</v>
      </c>
      <c r="C90" t="s">
        <v>94</v>
      </c>
      <c r="D90">
        <v>6</v>
      </c>
      <c r="E90" s="4" t="s">
        <v>109</v>
      </c>
      <c r="F90" s="4" t="str">
        <f>IF(D90=0,"Nei","Ja")</f>
        <v>Ja</v>
      </c>
      <c r="G90" t="s">
        <v>12</v>
      </c>
      <c r="H90" s="4" t="s">
        <v>11</v>
      </c>
      <c r="I90" t="str">
        <f>IF($B90="","",LOWER($B90)&amp;"|"&amp;TEXT(ROW(),"0000"))</f>
        <v>nugget hot|0090</v>
      </c>
      <c r="J90">
        <f>IF(I90="","",COUNTIF($I$2:$I$501,"&lt;="&amp;I90))</f>
        <v>416</v>
      </c>
      <c r="K90" s="4" t="s">
        <v>109</v>
      </c>
    </row>
    <row r="91" spans="1:11" x14ac:dyDescent="0.35">
      <c r="A91" t="s">
        <v>31</v>
      </c>
      <c r="B91" t="s">
        <v>59</v>
      </c>
      <c r="C91" t="s">
        <v>17</v>
      </c>
      <c r="D91">
        <v>9</v>
      </c>
      <c r="E91" s="4" t="s">
        <v>109</v>
      </c>
      <c r="F91" s="4" t="str">
        <f>IF(D91=0,"Nei","Ja")</f>
        <v>Ja</v>
      </c>
      <c r="G91" t="s">
        <v>12</v>
      </c>
      <c r="H91" s="4" t="s">
        <v>11</v>
      </c>
      <c r="I91" t="str">
        <f>IF($B91="","",LOWER($B91)&amp;"|"&amp;TEXT(ROW(),"0000"))</f>
        <v>ore|0091</v>
      </c>
      <c r="J91">
        <f>IF(I91="","",COUNTIF($I$2:$I$501,"&lt;="&amp;I91))</f>
        <v>418</v>
      </c>
      <c r="K91" s="4" t="s">
        <v>109</v>
      </c>
    </row>
    <row r="92" spans="1:11" x14ac:dyDescent="0.35">
      <c r="A92" t="s">
        <v>31</v>
      </c>
      <c r="B92" t="s">
        <v>59</v>
      </c>
      <c r="C92" t="s">
        <v>18</v>
      </c>
      <c r="D92">
        <v>9</v>
      </c>
      <c r="E92" s="4" t="s">
        <v>109</v>
      </c>
      <c r="F92" s="4" t="str">
        <f>IF(D92=0,"Nei","Ja")</f>
        <v>Ja</v>
      </c>
      <c r="G92" t="s">
        <v>12</v>
      </c>
      <c r="H92" s="4" t="s">
        <v>11</v>
      </c>
      <c r="I92" t="str">
        <f>IF($B92="","",LOWER($B92)&amp;"|"&amp;TEXT(ROW(),"0000"))</f>
        <v>ore|0092</v>
      </c>
      <c r="J92">
        <f>IF(I92="","",COUNTIF($I$2:$I$501,"&lt;="&amp;I92))</f>
        <v>419</v>
      </c>
      <c r="K92" s="4" t="s">
        <v>109</v>
      </c>
    </row>
    <row r="93" spans="1:11" x14ac:dyDescent="0.35">
      <c r="A93" t="s">
        <v>13</v>
      </c>
      <c r="B93" t="s">
        <v>60</v>
      </c>
      <c r="C93" t="s">
        <v>10</v>
      </c>
      <c r="D93">
        <v>0</v>
      </c>
      <c r="E93" s="4" t="s">
        <v>11</v>
      </c>
      <c r="F93" s="4" t="str">
        <f>IF(D93=0,"Nei","Ja")</f>
        <v>Nei</v>
      </c>
      <c r="G93" t="s">
        <v>12</v>
      </c>
      <c r="H93" s="4" t="s">
        <v>11</v>
      </c>
      <c r="I93" t="str">
        <f>IF($B93="","",LOWER($B93)&amp;"|"&amp;TEXT(ROW(),"0000"))</f>
        <v>pickaxe head|0093</v>
      </c>
      <c r="J93">
        <f>IF(I93="","",COUNTIF($I$2:$I$501,"&lt;="&amp;I93))</f>
        <v>420</v>
      </c>
      <c r="K93" s="4" t="s">
        <v>11</v>
      </c>
    </row>
    <row r="94" spans="1:11" x14ac:dyDescent="0.35">
      <c r="A94" t="s">
        <v>28</v>
      </c>
      <c r="B94" t="s">
        <v>61</v>
      </c>
      <c r="C94" t="s">
        <v>16</v>
      </c>
      <c r="D94">
        <v>0</v>
      </c>
      <c r="E94" s="4" t="s">
        <v>109</v>
      </c>
      <c r="F94" s="4" t="str">
        <f>IF(D94=0,"Nei","Ja")</f>
        <v>Nei</v>
      </c>
      <c r="G94" t="s">
        <v>12</v>
      </c>
      <c r="H94" s="4" t="s">
        <v>11</v>
      </c>
      <c r="I94" t="str">
        <f>IF($B94="","",LOWER($B94)&amp;"|"&amp;TEXT(ROW(),"0000"))</f>
        <v>piston|0094</v>
      </c>
      <c r="J94">
        <f>IF(I94="","",COUNTIF($I$2:$I$501,"&lt;="&amp;I94))</f>
        <v>426</v>
      </c>
      <c r="K94" s="4" t="s">
        <v>109</v>
      </c>
    </row>
    <row r="95" spans="1:11" x14ac:dyDescent="0.35">
      <c r="A95" t="s">
        <v>28</v>
      </c>
      <c r="B95" t="s">
        <v>61</v>
      </c>
      <c r="C95" t="s">
        <v>17</v>
      </c>
      <c r="D95">
        <v>0</v>
      </c>
      <c r="E95" s="4" t="s">
        <v>109</v>
      </c>
      <c r="F95" s="4" t="str">
        <f>IF(D95=0,"Nei","Ja")</f>
        <v>Nei</v>
      </c>
      <c r="G95" t="s">
        <v>12</v>
      </c>
      <c r="H95" s="4" t="s">
        <v>11</v>
      </c>
      <c r="I95" t="str">
        <f>IF($B95="","",LOWER($B95)&amp;"|"&amp;TEXT(ROW(),"0000"))</f>
        <v>piston|0095</v>
      </c>
      <c r="J95">
        <f>IF(I95="","",COUNTIF($I$2:$I$501,"&lt;="&amp;I95))</f>
        <v>427</v>
      </c>
      <c r="K95" s="4" t="s">
        <v>109</v>
      </c>
    </row>
    <row r="96" spans="1:11" x14ac:dyDescent="0.35">
      <c r="A96" t="s">
        <v>28</v>
      </c>
      <c r="B96" t="s">
        <v>61</v>
      </c>
      <c r="C96" t="s">
        <v>18</v>
      </c>
      <c r="D96">
        <v>0</v>
      </c>
      <c r="E96" s="4" t="s">
        <v>109</v>
      </c>
      <c r="F96" s="4" t="str">
        <f>IF(D96=0,"Nei","Ja")</f>
        <v>Nei</v>
      </c>
      <c r="G96" t="s">
        <v>12</v>
      </c>
      <c r="H96" s="4" t="s">
        <v>11</v>
      </c>
      <c r="I96" t="str">
        <f>IF($B96="","",LOWER($B96)&amp;"|"&amp;TEXT(ROW(),"0000"))</f>
        <v>piston|0096</v>
      </c>
      <c r="J96">
        <f>IF(I96="","",COUNTIF($I$2:$I$501,"&lt;="&amp;I96))</f>
        <v>428</v>
      </c>
      <c r="K96" s="4" t="s">
        <v>109</v>
      </c>
    </row>
    <row r="97" spans="1:11" x14ac:dyDescent="0.35">
      <c r="A97" t="s">
        <v>28</v>
      </c>
      <c r="B97" t="s">
        <v>61</v>
      </c>
      <c r="C97" t="s">
        <v>19</v>
      </c>
      <c r="D97">
        <v>0</v>
      </c>
      <c r="E97" s="4" t="s">
        <v>109</v>
      </c>
      <c r="F97" s="4" t="str">
        <f>IF(D97=0,"Nei","Ja")</f>
        <v>Nei</v>
      </c>
      <c r="G97" t="s">
        <v>12</v>
      </c>
      <c r="H97" s="4" t="s">
        <v>11</v>
      </c>
      <c r="I97" t="str">
        <f>IF($B97="","",LOWER($B97)&amp;"|"&amp;TEXT(ROW(),"0000"))</f>
        <v>piston|0097</v>
      </c>
      <c r="J97">
        <f>IF(I97="","",COUNTIF($I$2:$I$501,"&lt;="&amp;I97))</f>
        <v>429</v>
      </c>
      <c r="K97" s="4" t="s">
        <v>109</v>
      </c>
    </row>
    <row r="98" spans="1:11" x14ac:dyDescent="0.35">
      <c r="A98" t="s">
        <v>28</v>
      </c>
      <c r="B98" t="s">
        <v>61</v>
      </c>
      <c r="C98" t="s">
        <v>20</v>
      </c>
      <c r="D98">
        <v>0</v>
      </c>
      <c r="E98" s="4" t="s">
        <v>109</v>
      </c>
      <c r="F98" s="4" t="str">
        <f>IF(D98=0,"Nei","Ja")</f>
        <v>Nei</v>
      </c>
      <c r="G98" t="s">
        <v>12</v>
      </c>
      <c r="H98" s="4" t="s">
        <v>11</v>
      </c>
      <c r="I98" t="str">
        <f>IF($B98="","",LOWER($B98)&amp;"|"&amp;TEXT(ROW(),"0000"))</f>
        <v>piston|0098</v>
      </c>
      <c r="J98">
        <f>IF(I98="","",COUNTIF($I$2:$I$501,"&lt;="&amp;I98))</f>
        <v>430</v>
      </c>
      <c r="K98" s="4" t="s">
        <v>109</v>
      </c>
    </row>
    <row r="99" spans="1:11" x14ac:dyDescent="0.35">
      <c r="A99" t="s">
        <v>28</v>
      </c>
      <c r="B99" t="s">
        <v>62</v>
      </c>
      <c r="C99" t="s">
        <v>16</v>
      </c>
      <c r="D99">
        <v>0</v>
      </c>
      <c r="E99" s="4" t="s">
        <v>109</v>
      </c>
      <c r="F99" s="4" t="str">
        <f>IF(D99=0,"Nei","Ja")</f>
        <v>Nei</v>
      </c>
      <c r="G99" t="s">
        <v>12</v>
      </c>
      <c r="H99" s="4" t="s">
        <v>11</v>
      </c>
      <c r="I99" t="str">
        <f>IF($B99="","",LOWER($B99)&amp;"|"&amp;TEXT(ROW(),"0000"))</f>
        <v>piston rod|0099</v>
      </c>
      <c r="J99">
        <f>IF(I99="","",COUNTIF($I$2:$I$501,"&lt;="&amp;I99))</f>
        <v>421</v>
      </c>
      <c r="K99" s="4" t="s">
        <v>109</v>
      </c>
    </row>
    <row r="100" spans="1:11" x14ac:dyDescent="0.35">
      <c r="A100" t="s">
        <v>28</v>
      </c>
      <c r="B100" t="s">
        <v>62</v>
      </c>
      <c r="C100" t="s">
        <v>17</v>
      </c>
      <c r="D100">
        <v>0</v>
      </c>
      <c r="E100" s="4" t="s">
        <v>109</v>
      </c>
      <c r="F100" s="4" t="str">
        <f>IF(D100=0,"Nei","Ja")</f>
        <v>Nei</v>
      </c>
      <c r="G100" t="s">
        <v>12</v>
      </c>
      <c r="H100" s="4" t="s">
        <v>11</v>
      </c>
      <c r="I100" t="str">
        <f>IF($B100="","",LOWER($B100)&amp;"|"&amp;TEXT(ROW(),"0000"))</f>
        <v>piston rod|0100</v>
      </c>
      <c r="J100">
        <f>IF(I100="","",COUNTIF($I$2:$I$501,"&lt;="&amp;I100))</f>
        <v>422</v>
      </c>
      <c r="K100" s="4" t="s">
        <v>109</v>
      </c>
    </row>
    <row r="101" spans="1:11" x14ac:dyDescent="0.35">
      <c r="A101" t="s">
        <v>28</v>
      </c>
      <c r="B101" t="s">
        <v>62</v>
      </c>
      <c r="C101" t="s">
        <v>104</v>
      </c>
      <c r="D101">
        <v>0</v>
      </c>
      <c r="E101" s="4" t="s">
        <v>109</v>
      </c>
      <c r="F101" s="4" t="str">
        <f>IF(D101=0,"Nei","Ja")</f>
        <v>Nei</v>
      </c>
      <c r="G101" t="s">
        <v>12</v>
      </c>
      <c r="H101" s="4" t="s">
        <v>22</v>
      </c>
      <c r="I101" t="str">
        <f>IF($B101="","",LOWER($B101)&amp;"|"&amp;TEXT(ROW(),"0000"))</f>
        <v>piston rod|0101</v>
      </c>
      <c r="J101">
        <f>IF(I101="","",COUNTIF($I$2:$I$501,"&lt;="&amp;I101))</f>
        <v>423</v>
      </c>
      <c r="K101" s="4" t="s">
        <v>109</v>
      </c>
    </row>
    <row r="102" spans="1:11" x14ac:dyDescent="0.35">
      <c r="A102" t="s">
        <v>28</v>
      </c>
      <c r="B102" t="s">
        <v>62</v>
      </c>
      <c r="C102" t="s">
        <v>19</v>
      </c>
      <c r="D102">
        <v>0</v>
      </c>
      <c r="E102" s="4" t="s">
        <v>109</v>
      </c>
      <c r="F102" s="4" t="str">
        <f>IF(D102=0,"Nei","Ja")</f>
        <v>Nei</v>
      </c>
      <c r="G102" t="s">
        <v>12</v>
      </c>
      <c r="H102" s="4" t="s">
        <v>11</v>
      </c>
      <c r="I102" t="str">
        <f>IF($B102="","",LOWER($B102)&amp;"|"&amp;TEXT(ROW(),"0000"))</f>
        <v>piston rod|0102</v>
      </c>
      <c r="J102">
        <f>IF(I102="","",COUNTIF($I$2:$I$501,"&lt;="&amp;I102))</f>
        <v>424</v>
      </c>
      <c r="K102" s="4" t="s">
        <v>109</v>
      </c>
    </row>
    <row r="103" spans="1:11" x14ac:dyDescent="0.35">
      <c r="A103" t="s">
        <v>28</v>
      </c>
      <c r="B103" t="s">
        <v>62</v>
      </c>
      <c r="C103" t="s">
        <v>20</v>
      </c>
      <c r="D103">
        <v>0</v>
      </c>
      <c r="E103" s="4" t="s">
        <v>109</v>
      </c>
      <c r="F103" s="4" t="str">
        <f>IF(D103=0,"Nei","Ja")</f>
        <v>Nei</v>
      </c>
      <c r="G103" t="s">
        <v>12</v>
      </c>
      <c r="H103" s="4" t="s">
        <v>11</v>
      </c>
      <c r="I103" t="str">
        <f>IF($B103="","",LOWER($B103)&amp;"|"&amp;TEXT(ROW(),"0000"))</f>
        <v>piston rod|0103</v>
      </c>
      <c r="J103">
        <f>IF(I103="","",COUNTIF($I$2:$I$501,"&lt;="&amp;I103))</f>
        <v>425</v>
      </c>
      <c r="K103" s="4" t="s">
        <v>109</v>
      </c>
    </row>
    <row r="104" spans="1:11" x14ac:dyDescent="0.35">
      <c r="A104" t="s">
        <v>40</v>
      </c>
      <c r="B104" t="s">
        <v>63</v>
      </c>
      <c r="C104" t="s">
        <v>10</v>
      </c>
      <c r="D104">
        <v>1</v>
      </c>
      <c r="E104" s="4" t="s">
        <v>109</v>
      </c>
      <c r="F104" s="4" t="str">
        <f>IF(D104=0,"Nei","Ja")</f>
        <v>Ja</v>
      </c>
      <c r="G104" t="s">
        <v>12</v>
      </c>
      <c r="H104" s="4" t="s">
        <v>11</v>
      </c>
      <c r="I104" t="str">
        <f>IF($B104="","",LOWER($B104)&amp;"|"&amp;TEXT(ROW(),"0000"))</f>
        <v>plasma|0104</v>
      </c>
      <c r="J104">
        <f>IF(I104="","",COUNTIF($I$2:$I$501,"&lt;="&amp;I104))</f>
        <v>431</v>
      </c>
      <c r="K104" s="4" t="s">
        <v>109</v>
      </c>
    </row>
    <row r="105" spans="1:11" x14ac:dyDescent="0.35">
      <c r="A105" t="s">
        <v>15</v>
      </c>
      <c r="B105" t="s">
        <v>64</v>
      </c>
      <c r="C105" t="s">
        <v>18</v>
      </c>
      <c r="D105">
        <v>6</v>
      </c>
      <c r="E105" s="4" t="s">
        <v>22</v>
      </c>
      <c r="F105" s="4" t="str">
        <f>IF(D105=0,"Nei","Ja")</f>
        <v>Ja</v>
      </c>
      <c r="G105" t="s">
        <v>12</v>
      </c>
      <c r="H105" s="4" t="s">
        <v>11</v>
      </c>
      <c r="I105" t="str">
        <f>IF($B105="","",LOWER($B105)&amp;"|"&amp;TEXT(ROW(),"0000"))</f>
        <v>plate|0105</v>
      </c>
      <c r="J105">
        <f>IF(I105="","",COUNTIF($I$2:$I$501,"&lt;="&amp;I105))</f>
        <v>438</v>
      </c>
      <c r="K105" s="7" t="s">
        <v>22</v>
      </c>
    </row>
    <row r="106" spans="1:11" x14ac:dyDescent="0.35">
      <c r="A106" t="s">
        <v>15</v>
      </c>
      <c r="B106" t="s">
        <v>64</v>
      </c>
      <c r="C106" t="s">
        <v>19</v>
      </c>
      <c r="D106">
        <v>0</v>
      </c>
      <c r="E106" s="6" t="s">
        <v>11</v>
      </c>
      <c r="F106" s="6" t="s">
        <v>11</v>
      </c>
      <c r="G106" t="s">
        <v>12</v>
      </c>
      <c r="H106" s="6" t="s">
        <v>11</v>
      </c>
      <c r="I106" t="str">
        <f>IF($B106="","",LOWER($B106)&amp;"|"&amp;TEXT(ROW(),"0000"))</f>
        <v>plate|0106</v>
      </c>
      <c r="J106">
        <f>IF(I106="","",COUNTIF($I$2:$I$501,"&lt;="&amp;I106))</f>
        <v>439</v>
      </c>
      <c r="K106" s="4" t="s">
        <v>11</v>
      </c>
    </row>
    <row r="107" spans="1:11" x14ac:dyDescent="0.35">
      <c r="A107" t="s">
        <v>15</v>
      </c>
      <c r="B107" t="s">
        <v>121</v>
      </c>
      <c r="C107" t="s">
        <v>18</v>
      </c>
      <c r="D107">
        <v>3</v>
      </c>
      <c r="E107" s="6" t="s">
        <v>109</v>
      </c>
      <c r="F107" s="6" t="s">
        <v>22</v>
      </c>
      <c r="G107" t="s">
        <v>12</v>
      </c>
      <c r="H107" s="6" t="s">
        <v>11</v>
      </c>
      <c r="I107" t="str">
        <f>IF($B107="","",LOWER($B107)&amp;"|"&amp;TEXT(ROW(),"0000"))</f>
        <v>plate dense |0107</v>
      </c>
      <c r="J107">
        <f>IF(I107="","",COUNTIF($I$2:$I$501,"&lt;="&amp;I107))</f>
        <v>432</v>
      </c>
      <c r="K107" s="4" t="s">
        <v>109</v>
      </c>
    </row>
    <row r="108" spans="1:11" x14ac:dyDescent="0.35">
      <c r="A108" t="s">
        <v>15</v>
      </c>
      <c r="B108" t="s">
        <v>121</v>
      </c>
      <c r="C108" t="s">
        <v>19</v>
      </c>
      <c r="D108">
        <v>1</v>
      </c>
      <c r="E108" s="5" t="s">
        <v>109</v>
      </c>
      <c r="F108" s="5" t="s">
        <v>22</v>
      </c>
      <c r="G108" t="s">
        <v>12</v>
      </c>
      <c r="H108" s="5" t="s">
        <v>11</v>
      </c>
      <c r="I108" t="str">
        <f>IF($B108="","",LOWER($B108)&amp;"|"&amp;TEXT(ROW(),"0000"))</f>
        <v>plate dense |0108</v>
      </c>
      <c r="J108">
        <f>IF(I108="","",COUNTIF($I$2:$I$501,"&lt;="&amp;I108))</f>
        <v>433</v>
      </c>
      <c r="K108" s="4" t="s">
        <v>109</v>
      </c>
    </row>
    <row r="109" spans="1:11" x14ac:dyDescent="0.35">
      <c r="A109" t="s">
        <v>15</v>
      </c>
      <c r="B109" t="s">
        <v>122</v>
      </c>
      <c r="C109" t="s">
        <v>18</v>
      </c>
      <c r="D109">
        <v>0</v>
      </c>
      <c r="E109" s="6" t="s">
        <v>109</v>
      </c>
      <c r="F109" s="6" t="s">
        <v>11</v>
      </c>
      <c r="G109" t="s">
        <v>12</v>
      </c>
      <c r="H109" s="6" t="s">
        <v>11</v>
      </c>
      <c r="I109" t="str">
        <f>IF($B109="","",LOWER($B109)&amp;"|"&amp;TEXT(ROW(),"0000"))</f>
        <v>plate double|0109</v>
      </c>
      <c r="J109">
        <f>IF(I109="","",COUNTIF($I$2:$I$501,"&lt;="&amp;I109))</f>
        <v>434</v>
      </c>
      <c r="K109" s="4" t="s">
        <v>109</v>
      </c>
    </row>
    <row r="110" spans="1:11" x14ac:dyDescent="0.35">
      <c r="A110" t="s">
        <v>15</v>
      </c>
      <c r="B110" t="s">
        <v>122</v>
      </c>
      <c r="C110" t="s">
        <v>19</v>
      </c>
      <c r="D110">
        <v>0</v>
      </c>
      <c r="E110" s="6" t="s">
        <v>109</v>
      </c>
      <c r="F110" s="6" t="s">
        <v>11</v>
      </c>
      <c r="G110" t="s">
        <v>12</v>
      </c>
      <c r="H110" s="6" t="s">
        <v>11</v>
      </c>
      <c r="I110" t="str">
        <f>IF($B110="","",LOWER($B110)&amp;"|"&amp;TEXT(ROW(),"0000"))</f>
        <v>plate double|0110</v>
      </c>
      <c r="J110">
        <f>IF(I110="","",COUNTIF($I$2:$I$501,"&lt;="&amp;I110))</f>
        <v>435</v>
      </c>
      <c r="K110" s="4" t="s">
        <v>109</v>
      </c>
    </row>
    <row r="111" spans="1:11" x14ac:dyDescent="0.35">
      <c r="A111" t="s">
        <v>15</v>
      </c>
      <c r="B111" t="s">
        <v>124</v>
      </c>
      <c r="C111" t="s">
        <v>94</v>
      </c>
      <c r="D111">
        <v>1</v>
      </c>
      <c r="E111" s="6" t="s">
        <v>109</v>
      </c>
      <c r="F111" s="6" t="s">
        <v>22</v>
      </c>
      <c r="G111" t="s">
        <v>12</v>
      </c>
      <c r="H111" s="6" t="s">
        <v>11</v>
      </c>
      <c r="I111" t="str">
        <f>IF($B111="","",LOWER($B111)&amp;"|"&amp;TEXT(ROW(),"0000"))</f>
        <v>plate heat exchanger|0111</v>
      </c>
      <c r="J111">
        <f>IF(I111="","",COUNTIF($I$2:$I$501,"&lt;="&amp;I111))</f>
        <v>436</v>
      </c>
      <c r="K111" s="4" t="s">
        <v>109</v>
      </c>
    </row>
    <row r="112" spans="1:11" x14ac:dyDescent="0.35">
      <c r="A112" t="s">
        <v>15</v>
      </c>
      <c r="B112" t="s">
        <v>123</v>
      </c>
      <c r="C112" t="s">
        <v>94</v>
      </c>
      <c r="D112">
        <v>1</v>
      </c>
      <c r="E112" s="6" t="s">
        <v>109</v>
      </c>
      <c r="F112" s="6" t="s">
        <v>22</v>
      </c>
      <c r="G112" t="s">
        <v>12</v>
      </c>
      <c r="H112" s="6" t="s">
        <v>11</v>
      </c>
      <c r="I112" t="str">
        <f>IF($B112="","",LOWER($B112)&amp;"|"&amp;TEXT(ROW(),"0000"))</f>
        <v>plate reinforced|0112</v>
      </c>
      <c r="J112">
        <f>IF(I112="","",COUNTIF($I$2:$I$501,"&lt;="&amp;I112))</f>
        <v>437</v>
      </c>
      <c r="K112" s="4" t="s">
        <v>109</v>
      </c>
    </row>
    <row r="113" spans="1:11" x14ac:dyDescent="0.35">
      <c r="A113" t="s">
        <v>28</v>
      </c>
      <c r="B113" t="s">
        <v>65</v>
      </c>
      <c r="C113" t="s">
        <v>16</v>
      </c>
      <c r="D113">
        <v>0</v>
      </c>
      <c r="E113" s="7" t="s">
        <v>109</v>
      </c>
      <c r="F113" s="4" t="s">
        <v>11</v>
      </c>
      <c r="G113" t="s">
        <v>12</v>
      </c>
      <c r="H113" s="4"/>
      <c r="I113" t="str">
        <f>IF($B113="","",LOWER($B113)&amp;"|"&amp;TEXT(ROW(),"0000"))</f>
        <v>pump|0113</v>
      </c>
      <c r="J113">
        <f>IF(I113="","",COUNTIF($I$2:$I$501,"&lt;="&amp;I113))</f>
        <v>445</v>
      </c>
      <c r="K113" s="4" t="s">
        <v>109</v>
      </c>
    </row>
    <row r="114" spans="1:11" x14ac:dyDescent="0.35">
      <c r="A114" t="s">
        <v>28</v>
      </c>
      <c r="B114" t="s">
        <v>65</v>
      </c>
      <c r="C114" t="s">
        <v>17</v>
      </c>
      <c r="D114">
        <v>0</v>
      </c>
      <c r="E114" s="7" t="s">
        <v>109</v>
      </c>
      <c r="F114" s="4" t="s">
        <v>11</v>
      </c>
      <c r="G114" t="s">
        <v>12</v>
      </c>
      <c r="H114" s="4"/>
      <c r="I114" t="str">
        <f>IF($B114="","",LOWER($B114)&amp;"|"&amp;TEXT(ROW(),"0000"))</f>
        <v>pump|0114</v>
      </c>
      <c r="J114">
        <f>IF(I114="","",COUNTIF($I$2:$I$501,"&lt;="&amp;I114))</f>
        <v>446</v>
      </c>
      <c r="K114" s="4" t="s">
        <v>109</v>
      </c>
    </row>
    <row r="115" spans="1:11" x14ac:dyDescent="0.35">
      <c r="A115" t="s">
        <v>28</v>
      </c>
      <c r="B115" t="s">
        <v>65</v>
      </c>
      <c r="C115" t="s">
        <v>18</v>
      </c>
      <c r="D115">
        <v>0</v>
      </c>
      <c r="E115" s="7" t="s">
        <v>109</v>
      </c>
      <c r="F115" s="4" t="s">
        <v>11</v>
      </c>
      <c r="G115" t="s">
        <v>12</v>
      </c>
      <c r="H115" s="4" t="s">
        <v>11</v>
      </c>
      <c r="I115" t="str">
        <f>IF($B115="","",LOWER($B115)&amp;"|"&amp;TEXT(ROW(),"0000"))</f>
        <v>pump|0115</v>
      </c>
      <c r="J115">
        <f>IF(I115="","",COUNTIF($I$2:$I$501,"&lt;="&amp;I115))</f>
        <v>447</v>
      </c>
      <c r="K115" s="4" t="s">
        <v>109</v>
      </c>
    </row>
    <row r="116" spans="1:11" x14ac:dyDescent="0.35">
      <c r="A116" t="s">
        <v>28</v>
      </c>
      <c r="B116" t="s">
        <v>65</v>
      </c>
      <c r="C116" t="s">
        <v>19</v>
      </c>
      <c r="D116">
        <v>0</v>
      </c>
      <c r="E116" s="7" t="s">
        <v>109</v>
      </c>
      <c r="F116" s="4" t="s">
        <v>11</v>
      </c>
      <c r="G116" t="s">
        <v>12</v>
      </c>
      <c r="H116" s="4" t="s">
        <v>11</v>
      </c>
      <c r="I116" t="str">
        <f>IF($B116="","",LOWER($B116)&amp;"|"&amp;TEXT(ROW(),"0000"))</f>
        <v>pump|0116</v>
      </c>
      <c r="J116">
        <f>IF(I116="","",COUNTIF($I$2:$I$501,"&lt;="&amp;I116))</f>
        <v>448</v>
      </c>
      <c r="K116" s="4" t="s">
        <v>109</v>
      </c>
    </row>
    <row r="117" spans="1:11" x14ac:dyDescent="0.35">
      <c r="A117" t="s">
        <v>28</v>
      </c>
      <c r="B117" t="s">
        <v>65</v>
      </c>
      <c r="C117" t="s">
        <v>20</v>
      </c>
      <c r="D117">
        <v>0</v>
      </c>
      <c r="E117" s="7" t="s">
        <v>109</v>
      </c>
      <c r="F117" s="4" t="s">
        <v>11</v>
      </c>
      <c r="G117" t="s">
        <v>12</v>
      </c>
      <c r="H117" s="4" t="s">
        <v>11</v>
      </c>
      <c r="I117" t="str">
        <f>IF($B117="","",LOWER($B117)&amp;"|"&amp;TEXT(ROW(),"0000"))</f>
        <v>pump|0117</v>
      </c>
      <c r="J117">
        <f>IF(I117="","",COUNTIF($I$2:$I$501,"&lt;="&amp;I117))</f>
        <v>449</v>
      </c>
      <c r="K117" s="4" t="s">
        <v>109</v>
      </c>
    </row>
    <row r="118" spans="1:11" x14ac:dyDescent="0.35">
      <c r="A118" t="s">
        <v>28</v>
      </c>
      <c r="B118" t="s">
        <v>66</v>
      </c>
      <c r="C118" t="s">
        <v>16</v>
      </c>
      <c r="D118">
        <v>0</v>
      </c>
      <c r="E118" s="7" t="s">
        <v>109</v>
      </c>
      <c r="F118" s="4" t="s">
        <v>11</v>
      </c>
      <c r="G118" t="s">
        <v>12</v>
      </c>
      <c r="H118" s="4" t="s">
        <v>11</v>
      </c>
      <c r="I118" t="str">
        <f>IF($B118="","",LOWER($B118)&amp;"|"&amp;TEXT(ROW(),"0000"))</f>
        <v>pump impeller|0118</v>
      </c>
      <c r="J118">
        <f>IF(I118="","",COUNTIF($I$2:$I$501,"&lt;="&amp;I118))</f>
        <v>440</v>
      </c>
      <c r="K118" s="4" t="s">
        <v>109</v>
      </c>
    </row>
    <row r="119" spans="1:11" x14ac:dyDescent="0.35">
      <c r="A119" t="s">
        <v>28</v>
      </c>
      <c r="B119" t="s">
        <v>66</v>
      </c>
      <c r="C119" t="s">
        <v>17</v>
      </c>
      <c r="D119">
        <v>0</v>
      </c>
      <c r="E119" s="7" t="s">
        <v>109</v>
      </c>
      <c r="F119" s="4" t="s">
        <v>11</v>
      </c>
      <c r="G119" t="s">
        <v>12</v>
      </c>
      <c r="H119" s="4" t="s">
        <v>11</v>
      </c>
      <c r="I119" t="str">
        <f>IF($B119="","",LOWER($B119)&amp;"|"&amp;TEXT(ROW(),"0000"))</f>
        <v>pump impeller|0119</v>
      </c>
      <c r="J119">
        <f>IF(I119="","",COUNTIF($I$2:$I$501,"&lt;="&amp;I119))</f>
        <v>441</v>
      </c>
      <c r="K119" s="4" t="s">
        <v>109</v>
      </c>
    </row>
    <row r="120" spans="1:11" x14ac:dyDescent="0.35">
      <c r="A120" t="s">
        <v>28</v>
      </c>
      <c r="B120" t="s">
        <v>66</v>
      </c>
      <c r="C120" t="s">
        <v>104</v>
      </c>
      <c r="D120">
        <v>0</v>
      </c>
      <c r="E120" s="7" t="s">
        <v>109</v>
      </c>
      <c r="F120" s="4" t="s">
        <v>11</v>
      </c>
      <c r="G120" t="s">
        <v>12</v>
      </c>
      <c r="H120" s="4" t="s">
        <v>11</v>
      </c>
      <c r="I120" t="str">
        <f>IF($B120="","",LOWER($B120)&amp;"|"&amp;TEXT(ROW(),"0000"))</f>
        <v>pump impeller|0120</v>
      </c>
      <c r="J120">
        <f>IF(I120="","",COUNTIF($I$2:$I$501,"&lt;="&amp;I120))</f>
        <v>442</v>
      </c>
      <c r="K120" s="4" t="s">
        <v>109</v>
      </c>
    </row>
    <row r="121" spans="1:11" x14ac:dyDescent="0.35">
      <c r="A121" t="s">
        <v>28</v>
      </c>
      <c r="B121" t="s">
        <v>66</v>
      </c>
      <c r="C121" t="s">
        <v>19</v>
      </c>
      <c r="D121">
        <v>0</v>
      </c>
      <c r="E121" s="7" t="s">
        <v>109</v>
      </c>
      <c r="F121" s="4" t="s">
        <v>11</v>
      </c>
      <c r="G121" t="s">
        <v>12</v>
      </c>
      <c r="H121" s="4" t="s">
        <v>11</v>
      </c>
      <c r="I121" t="str">
        <f>IF($B121="","",LOWER($B121)&amp;"|"&amp;TEXT(ROW(),"0000"))</f>
        <v>pump impeller|0121</v>
      </c>
      <c r="J121">
        <f>IF(I121="","",COUNTIF($I$2:$I$501,"&lt;="&amp;I121))</f>
        <v>443</v>
      </c>
      <c r="K121" s="4" t="s">
        <v>109</v>
      </c>
    </row>
    <row r="122" spans="1:11" x14ac:dyDescent="0.35">
      <c r="A122" t="s">
        <v>28</v>
      </c>
      <c r="B122" t="s">
        <v>66</v>
      </c>
      <c r="C122" t="s">
        <v>20</v>
      </c>
      <c r="D122">
        <v>0</v>
      </c>
      <c r="E122" s="7" t="s">
        <v>109</v>
      </c>
      <c r="F122" s="4" t="s">
        <v>11</v>
      </c>
      <c r="G122" t="s">
        <v>12</v>
      </c>
      <c r="H122" s="4" t="s">
        <v>11</v>
      </c>
      <c r="I122" t="str">
        <f>IF($B122="","",LOWER($B122)&amp;"|"&amp;TEXT(ROW(),"0000"))</f>
        <v>pump impeller|0122</v>
      </c>
      <c r="J122">
        <f>IF(I122="","",COUNTIF($I$2:$I$501,"&lt;="&amp;I122))</f>
        <v>444</v>
      </c>
      <c r="K122" s="4" t="s">
        <v>109</v>
      </c>
    </row>
    <row r="123" spans="1:11" x14ac:dyDescent="0.35">
      <c r="A123" t="s">
        <v>31</v>
      </c>
      <c r="B123" t="s">
        <v>92</v>
      </c>
      <c r="C123" t="s">
        <v>10</v>
      </c>
      <c r="D123">
        <v>5</v>
      </c>
      <c r="E123" s="7" t="s">
        <v>109</v>
      </c>
      <c r="F123" s="5" t="s">
        <v>22</v>
      </c>
      <c r="G123" t="s">
        <v>12</v>
      </c>
      <c r="H123" s="5" t="s">
        <v>11</v>
      </c>
      <c r="I123" t="str">
        <f>IF($B123="","",LOWER($B123)&amp;"|"&amp;TEXT(ROW(),"0000"))</f>
        <v>raw ore|0123</v>
      </c>
      <c r="J123">
        <f>IF(I123="","",COUNTIF($I$2:$I$501,"&lt;="&amp;I123))</f>
        <v>451</v>
      </c>
      <c r="K123" s="4" t="s">
        <v>109</v>
      </c>
    </row>
    <row r="124" spans="1:11" x14ac:dyDescent="0.35">
      <c r="A124" t="s">
        <v>31</v>
      </c>
      <c r="B124" t="s">
        <v>102</v>
      </c>
      <c r="C124" t="s">
        <v>10</v>
      </c>
      <c r="D124">
        <v>3</v>
      </c>
      <c r="E124" s="7" t="s">
        <v>109</v>
      </c>
      <c r="F124" s="5" t="s">
        <v>22</v>
      </c>
      <c r="G124" t="s">
        <v>12</v>
      </c>
      <c r="H124" s="5" t="s">
        <v>22</v>
      </c>
      <c r="I124" t="str">
        <f>IF($B124="","",LOWER($B124)&amp;"|"&amp;TEXT(ROW(),"0000"))</f>
        <v>raw ore block|0124</v>
      </c>
      <c r="J124">
        <f>IF(I124="","",COUNTIF($I$2:$I$501,"&lt;="&amp;I124))</f>
        <v>450</v>
      </c>
      <c r="K124" s="4" t="s">
        <v>109</v>
      </c>
    </row>
    <row r="125" spans="1:11" x14ac:dyDescent="0.35">
      <c r="A125" t="s">
        <v>31</v>
      </c>
      <c r="B125" t="s">
        <v>103</v>
      </c>
      <c r="C125" t="s">
        <v>10</v>
      </c>
      <c r="D125">
        <v>1</v>
      </c>
      <c r="E125" s="7" t="s">
        <v>109</v>
      </c>
      <c r="F125" s="5" t="s">
        <v>22</v>
      </c>
      <c r="G125" t="s">
        <v>12</v>
      </c>
      <c r="H125" s="5" t="s">
        <v>11</v>
      </c>
      <c r="I125" t="str">
        <f>IF($B125="","",LOWER($B125)&amp;"|"&amp;TEXT(ROW(),"0000"))</f>
        <v>refined ore|0125</v>
      </c>
      <c r="J125">
        <f>IF(I125="","",COUNTIF($I$2:$I$501,"&lt;="&amp;I125))</f>
        <v>452</v>
      </c>
      <c r="K125" s="4" t="s">
        <v>109</v>
      </c>
    </row>
    <row r="126" spans="1:11" x14ac:dyDescent="0.35">
      <c r="A126" t="s">
        <v>15</v>
      </c>
      <c r="B126" t="s">
        <v>67</v>
      </c>
      <c r="C126" t="s">
        <v>16</v>
      </c>
      <c r="D126">
        <v>0</v>
      </c>
      <c r="E126" s="4" t="s">
        <v>11</v>
      </c>
      <c r="F126" s="4" t="s">
        <v>11</v>
      </c>
      <c r="G126" t="s">
        <v>12</v>
      </c>
      <c r="H126" s="4" t="s">
        <v>11</v>
      </c>
      <c r="I126" t="str">
        <f>IF($B126="","",LOWER($B126)&amp;"|"&amp;TEXT(ROW(),"0000"))</f>
        <v>ring|0126</v>
      </c>
      <c r="J126">
        <f>IF(I126="","",COUNTIF($I$2:$I$501,"&lt;="&amp;I126))</f>
        <v>453</v>
      </c>
      <c r="K126" s="4" t="s">
        <v>11</v>
      </c>
    </row>
    <row r="127" spans="1:11" x14ac:dyDescent="0.35">
      <c r="A127" t="s">
        <v>15</v>
      </c>
      <c r="B127" t="s">
        <v>67</v>
      </c>
      <c r="C127" t="s">
        <v>17</v>
      </c>
      <c r="D127">
        <v>1</v>
      </c>
      <c r="E127" s="6" t="s">
        <v>22</v>
      </c>
      <c r="F127" s="5" t="s">
        <v>22</v>
      </c>
      <c r="G127" t="s">
        <v>12</v>
      </c>
      <c r="H127" s="5" t="s">
        <v>11</v>
      </c>
      <c r="I127" t="str">
        <f>IF($B127="","",LOWER($B127)&amp;"|"&amp;TEXT(ROW(),"0000"))</f>
        <v>ring|0127</v>
      </c>
      <c r="J127">
        <f>IF(I127="","",COUNTIF($I$2:$I$501,"&lt;="&amp;I127))</f>
        <v>454</v>
      </c>
      <c r="K127" s="4" t="s">
        <v>11</v>
      </c>
    </row>
    <row r="128" spans="1:11" x14ac:dyDescent="0.35">
      <c r="A128" t="s">
        <v>15</v>
      </c>
      <c r="B128" t="s">
        <v>67</v>
      </c>
      <c r="C128" t="s">
        <v>18</v>
      </c>
      <c r="D128">
        <v>2</v>
      </c>
      <c r="E128" s="6" t="s">
        <v>22</v>
      </c>
      <c r="F128" s="5" t="s">
        <v>22</v>
      </c>
      <c r="G128" t="s">
        <v>12</v>
      </c>
      <c r="H128" s="5" t="s">
        <v>11</v>
      </c>
      <c r="I128" t="str">
        <f>IF($B128="","",LOWER($B128)&amp;"|"&amp;TEXT(ROW(),"0000"))</f>
        <v>ring|0128</v>
      </c>
      <c r="J128">
        <f>IF(I128="","",COUNTIF($I$2:$I$501,"&lt;="&amp;I128))</f>
        <v>455</v>
      </c>
      <c r="K128" s="7" t="s">
        <v>22</v>
      </c>
    </row>
    <row r="129" spans="1:11" x14ac:dyDescent="0.35">
      <c r="A129" t="s">
        <v>15</v>
      </c>
      <c r="B129" t="s">
        <v>67</v>
      </c>
      <c r="C129" t="s">
        <v>19</v>
      </c>
      <c r="D129">
        <v>0</v>
      </c>
      <c r="E129" s="5" t="s">
        <v>22</v>
      </c>
      <c r="F129" s="6" t="s">
        <v>11</v>
      </c>
      <c r="G129" t="s">
        <v>12</v>
      </c>
      <c r="H129" s="5" t="s">
        <v>11</v>
      </c>
      <c r="I129" t="str">
        <f>IF($B129="","",LOWER($B129)&amp;"|"&amp;TEXT(ROW(),"0000"))</f>
        <v>ring|0129</v>
      </c>
      <c r="J129">
        <f>IF(I129="","",COUNTIF($I$2:$I$501,"&lt;="&amp;I129))</f>
        <v>456</v>
      </c>
      <c r="K129" s="4" t="s">
        <v>11</v>
      </c>
    </row>
    <row r="130" spans="1:11" x14ac:dyDescent="0.35">
      <c r="A130" t="s">
        <v>15</v>
      </c>
      <c r="B130" t="s">
        <v>67</v>
      </c>
      <c r="C130" t="s">
        <v>20</v>
      </c>
      <c r="D130">
        <v>0</v>
      </c>
      <c r="E130" s="4" t="s">
        <v>11</v>
      </c>
      <c r="F130" s="4" t="s">
        <v>11</v>
      </c>
      <c r="G130" t="s">
        <v>12</v>
      </c>
      <c r="H130" s="4" t="s">
        <v>11</v>
      </c>
      <c r="I130" t="str">
        <f>IF($B130="","",LOWER($B130)&amp;"|"&amp;TEXT(ROW(),"0000"))</f>
        <v>ring|0130</v>
      </c>
      <c r="J130">
        <f>IF(I130="","",COUNTIF($I$2:$I$501,"&lt;="&amp;I130))</f>
        <v>457</v>
      </c>
      <c r="K130" s="4" t="s">
        <v>11</v>
      </c>
    </row>
    <row r="131" spans="1:11" x14ac:dyDescent="0.35">
      <c r="A131" t="s">
        <v>15</v>
      </c>
      <c r="B131" t="s">
        <v>68</v>
      </c>
      <c r="C131" t="s">
        <v>16</v>
      </c>
      <c r="D131">
        <v>0</v>
      </c>
      <c r="E131" s="6" t="s">
        <v>11</v>
      </c>
      <c r="F131" s="6" t="s">
        <v>11</v>
      </c>
      <c r="G131" t="s">
        <v>12</v>
      </c>
      <c r="H131" s="5" t="s">
        <v>11</v>
      </c>
      <c r="I131" t="str">
        <f>IF($B131="","",LOWER($B131)&amp;"|"&amp;TEXT(ROW(),"0000"))</f>
        <v>rivet|0131</v>
      </c>
      <c r="J131">
        <f>IF(I131="","",COUNTIF($I$2:$I$501,"&lt;="&amp;I131))</f>
        <v>458</v>
      </c>
      <c r="K131" s="4" t="s">
        <v>11</v>
      </c>
    </row>
    <row r="132" spans="1:11" x14ac:dyDescent="0.35">
      <c r="A132" t="s">
        <v>15</v>
      </c>
      <c r="B132" t="s">
        <v>68</v>
      </c>
      <c r="C132" t="s">
        <v>17</v>
      </c>
      <c r="D132">
        <v>0</v>
      </c>
      <c r="E132" s="6" t="s">
        <v>11</v>
      </c>
      <c r="F132" s="6" t="s">
        <v>11</v>
      </c>
      <c r="G132" t="s">
        <v>12</v>
      </c>
      <c r="H132" s="5" t="s">
        <v>11</v>
      </c>
      <c r="I132" t="str">
        <f>IF($B132="","",LOWER($B132)&amp;"|"&amp;TEXT(ROW(),"0000"))</f>
        <v>rivet|0132</v>
      </c>
      <c r="J132">
        <f>IF(I132="","",COUNTIF($I$2:$I$501,"&lt;="&amp;I132))</f>
        <v>459</v>
      </c>
      <c r="K132" s="4" t="s">
        <v>11</v>
      </c>
    </row>
    <row r="133" spans="1:11" x14ac:dyDescent="0.35">
      <c r="A133" t="s">
        <v>15</v>
      </c>
      <c r="B133" t="s">
        <v>68</v>
      </c>
      <c r="C133" t="s">
        <v>18</v>
      </c>
      <c r="D133">
        <v>1</v>
      </c>
      <c r="E133" s="6" t="s">
        <v>11</v>
      </c>
      <c r="F133" s="6" t="s">
        <v>11</v>
      </c>
      <c r="G133" t="s">
        <v>12</v>
      </c>
      <c r="H133" s="5" t="s">
        <v>11</v>
      </c>
      <c r="I133" t="str">
        <f>IF($B133="","",LOWER($B133)&amp;"|"&amp;TEXT(ROW(),"0000"))</f>
        <v>rivet|0133</v>
      </c>
      <c r="J133">
        <f>IF(I133="","",COUNTIF($I$2:$I$501,"&lt;="&amp;I133))</f>
        <v>460</v>
      </c>
      <c r="K133" s="4" t="s">
        <v>11</v>
      </c>
    </row>
    <row r="134" spans="1:11" x14ac:dyDescent="0.35">
      <c r="A134" t="s">
        <v>15</v>
      </c>
      <c r="B134" t="s">
        <v>68</v>
      </c>
      <c r="C134" t="s">
        <v>19</v>
      </c>
      <c r="D134">
        <v>0</v>
      </c>
      <c r="E134" s="6" t="s">
        <v>11</v>
      </c>
      <c r="F134" s="6" t="s">
        <v>11</v>
      </c>
      <c r="G134" t="s">
        <v>12</v>
      </c>
      <c r="H134" s="5" t="s">
        <v>11</v>
      </c>
      <c r="I134" t="str">
        <f>IF($B134="","",LOWER($B134)&amp;"|"&amp;TEXT(ROW(),"0000"))</f>
        <v>rivet|0134</v>
      </c>
      <c r="J134">
        <f>IF(I134="","",COUNTIF($I$2:$I$501,"&lt;="&amp;I134))</f>
        <v>461</v>
      </c>
      <c r="K134" s="4" t="s">
        <v>11</v>
      </c>
    </row>
    <row r="135" spans="1:11" x14ac:dyDescent="0.35">
      <c r="A135" t="s">
        <v>15</v>
      </c>
      <c r="B135" t="s">
        <v>68</v>
      </c>
      <c r="C135" t="s">
        <v>20</v>
      </c>
      <c r="D135">
        <v>0</v>
      </c>
      <c r="E135" s="6" t="s">
        <v>11</v>
      </c>
      <c r="F135" s="6" t="s">
        <v>11</v>
      </c>
      <c r="G135" t="s">
        <v>12</v>
      </c>
      <c r="H135" s="5" t="s">
        <v>11</v>
      </c>
      <c r="I135" t="str">
        <f>IF($B135="","",LOWER($B135)&amp;"|"&amp;TEXT(ROW(),"0000"))</f>
        <v>rivet|0135</v>
      </c>
      <c r="J135">
        <f>IF(I135="","",COUNTIF($I$2:$I$501,"&lt;="&amp;I135))</f>
        <v>462</v>
      </c>
      <c r="K135" s="4" t="s">
        <v>11</v>
      </c>
    </row>
    <row r="136" spans="1:11" x14ac:dyDescent="0.35">
      <c r="A136" t="s">
        <v>28</v>
      </c>
      <c r="B136" t="s">
        <v>69</v>
      </c>
      <c r="C136" t="s">
        <v>10</v>
      </c>
      <c r="D136">
        <v>0</v>
      </c>
      <c r="E136" s="7" t="s">
        <v>109</v>
      </c>
      <c r="F136" s="4" t="s">
        <v>11</v>
      </c>
      <c r="G136" t="s">
        <v>12</v>
      </c>
      <c r="H136" s="4" t="s">
        <v>11</v>
      </c>
      <c r="I136" t="str">
        <f>IF($B136="","",LOWER($B136)&amp;"|"&amp;TEXT(ROW(),"0000"))</f>
        <v>robot arm|0136</v>
      </c>
      <c r="J136">
        <f>IF(I136="","",COUNTIF($I$2:$I$501,"&lt;="&amp;I136))</f>
        <v>463</v>
      </c>
      <c r="K136" s="4" t="s">
        <v>109</v>
      </c>
    </row>
    <row r="137" spans="1:11" x14ac:dyDescent="0.35">
      <c r="A137" t="s">
        <v>15</v>
      </c>
      <c r="B137" t="s">
        <v>70</v>
      </c>
      <c r="C137" t="s">
        <v>126</v>
      </c>
      <c r="D137">
        <v>0</v>
      </c>
      <c r="E137" s="4" t="s">
        <v>11</v>
      </c>
      <c r="F137" s="4" t="s">
        <v>11</v>
      </c>
      <c r="G137" t="s">
        <v>12</v>
      </c>
      <c r="H137" s="4" t="s">
        <v>11</v>
      </c>
      <c r="I137" t="str">
        <f>IF($B137="","",LOWER($B137)&amp;"|"&amp;TEXT(ROW(),"0000"))</f>
        <v>rod|0137</v>
      </c>
      <c r="J137">
        <f>IF(I137="","",COUNTIF($I$2:$I$501,"&lt;="&amp;I137))</f>
        <v>464</v>
      </c>
      <c r="K137" s="4" t="s">
        <v>11</v>
      </c>
    </row>
    <row r="138" spans="1:11" x14ac:dyDescent="0.35">
      <c r="A138" t="s">
        <v>15</v>
      </c>
      <c r="B138" t="s">
        <v>70</v>
      </c>
      <c r="C138" t="s">
        <v>127</v>
      </c>
      <c r="D138">
        <v>0</v>
      </c>
      <c r="E138" s="4" t="s">
        <v>11</v>
      </c>
      <c r="F138" s="4" t="s">
        <v>11</v>
      </c>
      <c r="G138" t="s">
        <v>12</v>
      </c>
      <c r="H138" s="4" t="s">
        <v>11</v>
      </c>
      <c r="I138" t="str">
        <f>IF($B138="","",LOWER($B138)&amp;"|"&amp;TEXT(ROW(),"0000"))</f>
        <v>rod|0138</v>
      </c>
      <c r="J138">
        <f>IF(I138="","",COUNTIF($I$2:$I$501,"&lt;="&amp;I138))</f>
        <v>465</v>
      </c>
      <c r="K138" s="4" t="s">
        <v>11</v>
      </c>
    </row>
    <row r="139" spans="1:11" x14ac:dyDescent="0.35">
      <c r="A139" t="s">
        <v>15</v>
      </c>
      <c r="B139" t="s">
        <v>70</v>
      </c>
      <c r="C139" t="s">
        <v>18</v>
      </c>
      <c r="D139">
        <v>0</v>
      </c>
      <c r="E139" s="6" t="s">
        <v>11</v>
      </c>
      <c r="F139" s="5" t="s">
        <v>22</v>
      </c>
      <c r="G139" t="s">
        <v>12</v>
      </c>
      <c r="H139" s="5" t="s">
        <v>11</v>
      </c>
      <c r="I139" t="str">
        <f>IF($B139="","",LOWER($B139)&amp;"|"&amp;TEXT(ROW(),"0000"))</f>
        <v>rod|0139</v>
      </c>
      <c r="J139">
        <f>IF(I139="","",COUNTIF($I$2:$I$501,"&lt;="&amp;I139))</f>
        <v>466</v>
      </c>
      <c r="K139" s="4" t="s">
        <v>11</v>
      </c>
    </row>
    <row r="140" spans="1:11" x14ac:dyDescent="0.35">
      <c r="A140" t="s">
        <v>15</v>
      </c>
      <c r="B140" t="s">
        <v>70</v>
      </c>
      <c r="C140" t="s">
        <v>71</v>
      </c>
      <c r="D140">
        <v>4</v>
      </c>
      <c r="E140" s="6" t="s">
        <v>11</v>
      </c>
      <c r="F140" s="5" t="s">
        <v>22</v>
      </c>
      <c r="G140" t="s">
        <v>12</v>
      </c>
      <c r="H140" s="5" t="s">
        <v>11</v>
      </c>
      <c r="I140" t="str">
        <f>IF($B140="","",LOWER($B140)&amp;"|"&amp;TEXT(ROW(),"0000"))</f>
        <v>rod|0140</v>
      </c>
      <c r="J140">
        <f>IF(I140="","",COUNTIF($I$2:$I$501,"&lt;="&amp;I140))</f>
        <v>467</v>
      </c>
      <c r="K140" s="7" t="s">
        <v>22</v>
      </c>
    </row>
    <row r="141" spans="1:11" x14ac:dyDescent="0.35">
      <c r="A141" t="s">
        <v>15</v>
      </c>
      <c r="B141" t="s">
        <v>70</v>
      </c>
      <c r="C141" t="s">
        <v>128</v>
      </c>
      <c r="D141">
        <v>4</v>
      </c>
      <c r="E141" s="7" t="s">
        <v>22</v>
      </c>
      <c r="F141" s="4" t="s">
        <v>11</v>
      </c>
      <c r="G141" t="s">
        <v>12</v>
      </c>
      <c r="H141" s="4" t="s">
        <v>11</v>
      </c>
      <c r="I141" t="str">
        <f>IF($B141="","",LOWER($B141)&amp;"|"&amp;TEXT(ROW(),"0000"))</f>
        <v>rod|0141</v>
      </c>
      <c r="J141">
        <f>IF(I141="","",COUNTIF($I$2:$I$501,"&lt;="&amp;I141))</f>
        <v>468</v>
      </c>
      <c r="K141" s="7" t="s">
        <v>22</v>
      </c>
    </row>
    <row r="142" spans="1:11" x14ac:dyDescent="0.35">
      <c r="A142" t="s">
        <v>15</v>
      </c>
      <c r="B142" t="s">
        <v>72</v>
      </c>
      <c r="C142" t="s">
        <v>16</v>
      </c>
      <c r="D142">
        <v>0</v>
      </c>
      <c r="E142" s="6" t="s">
        <v>11</v>
      </c>
      <c r="F142" s="6" t="s">
        <v>11</v>
      </c>
      <c r="G142" t="s">
        <v>12</v>
      </c>
      <c r="H142" s="5" t="s">
        <v>11</v>
      </c>
      <c r="I142" t="str">
        <f>IF($B142="","",LOWER($B142)&amp;"|"&amp;TEXT(ROW(),"0000"))</f>
        <v>rotor|0142</v>
      </c>
      <c r="J142">
        <f>IF(I142="","",COUNTIF($I$2:$I$501,"&lt;="&amp;I142))</f>
        <v>469</v>
      </c>
      <c r="K142" s="4" t="s">
        <v>11</v>
      </c>
    </row>
    <row r="143" spans="1:11" x14ac:dyDescent="0.35">
      <c r="A143" t="s">
        <v>15</v>
      </c>
      <c r="B143" t="s">
        <v>72</v>
      </c>
      <c r="C143" t="s">
        <v>17</v>
      </c>
      <c r="D143">
        <v>0</v>
      </c>
      <c r="E143" s="6" t="s">
        <v>11</v>
      </c>
      <c r="F143" s="6" t="s">
        <v>11</v>
      </c>
      <c r="G143" t="s">
        <v>12</v>
      </c>
      <c r="H143" s="5" t="s">
        <v>11</v>
      </c>
      <c r="I143" t="str">
        <f>IF($B143="","",LOWER($B143)&amp;"|"&amp;TEXT(ROW(),"0000"))</f>
        <v>rotor|0143</v>
      </c>
      <c r="J143">
        <f>IF(I143="","",COUNTIF($I$2:$I$501,"&lt;="&amp;I143))</f>
        <v>470</v>
      </c>
      <c r="K143" s="4" t="s">
        <v>11</v>
      </c>
    </row>
    <row r="144" spans="1:11" x14ac:dyDescent="0.35">
      <c r="A144" t="s">
        <v>15</v>
      </c>
      <c r="B144" t="s">
        <v>72</v>
      </c>
      <c r="C144" t="s">
        <v>18</v>
      </c>
      <c r="D144">
        <v>0</v>
      </c>
      <c r="E144" s="6" t="s">
        <v>11</v>
      </c>
      <c r="F144" s="6" t="s">
        <v>11</v>
      </c>
      <c r="G144" t="s">
        <v>12</v>
      </c>
      <c r="H144" s="5" t="s">
        <v>11</v>
      </c>
      <c r="I144" t="str">
        <f>IF($B144="","",LOWER($B144)&amp;"|"&amp;TEXT(ROW(),"0000"))</f>
        <v>rotor|0144</v>
      </c>
      <c r="J144">
        <f>IF(I144="","",COUNTIF($I$2:$I$501,"&lt;="&amp;I144))</f>
        <v>471</v>
      </c>
      <c r="K144" s="4" t="s">
        <v>11</v>
      </c>
    </row>
    <row r="145" spans="1:11" x14ac:dyDescent="0.35">
      <c r="A145" t="s">
        <v>15</v>
      </c>
      <c r="B145" t="s">
        <v>72</v>
      </c>
      <c r="C145" t="s">
        <v>19</v>
      </c>
      <c r="D145">
        <v>3</v>
      </c>
      <c r="E145" s="6" t="s">
        <v>22</v>
      </c>
      <c r="F145" s="6" t="s">
        <v>11</v>
      </c>
      <c r="G145" t="s">
        <v>12</v>
      </c>
      <c r="H145" s="5" t="s">
        <v>11</v>
      </c>
      <c r="I145" t="str">
        <f>IF($B145="","",LOWER($B145)&amp;"|"&amp;TEXT(ROW(),"0000"))</f>
        <v>rotor|0145</v>
      </c>
      <c r="J145">
        <f>IF(I145="","",COUNTIF($I$2:$I$501,"&lt;="&amp;I145))</f>
        <v>472</v>
      </c>
      <c r="K145" s="7" t="s">
        <v>22</v>
      </c>
    </row>
    <row r="146" spans="1:11" x14ac:dyDescent="0.35">
      <c r="A146" t="s">
        <v>15</v>
      </c>
      <c r="B146" t="s">
        <v>72</v>
      </c>
      <c r="C146" t="s">
        <v>20</v>
      </c>
      <c r="D146">
        <v>0</v>
      </c>
      <c r="E146" s="6" t="s">
        <v>11</v>
      </c>
      <c r="F146" s="6" t="s">
        <v>11</v>
      </c>
      <c r="G146" t="s">
        <v>12</v>
      </c>
      <c r="H146" s="5" t="s">
        <v>11</v>
      </c>
      <c r="I146" t="str">
        <f>IF($B146="","",LOWER($B146)&amp;"|"&amp;TEXT(ROW(),"0000"))</f>
        <v>rotor|0146</v>
      </c>
      <c r="J146">
        <f>IF(I146="","",COUNTIF($I$2:$I$501,"&lt;="&amp;I146))</f>
        <v>473</v>
      </c>
      <c r="K146" s="4" t="s">
        <v>11</v>
      </c>
    </row>
    <row r="147" spans="1:11" x14ac:dyDescent="0.35">
      <c r="A147" t="s">
        <v>13</v>
      </c>
      <c r="B147" t="s">
        <v>73</v>
      </c>
      <c r="C147" t="s">
        <v>10</v>
      </c>
      <c r="D147">
        <v>0</v>
      </c>
      <c r="E147" s="4" t="s">
        <v>11</v>
      </c>
      <c r="F147" s="4" t="s">
        <v>11</v>
      </c>
      <c r="G147" t="s">
        <v>12</v>
      </c>
      <c r="H147" s="4" t="s">
        <v>11</v>
      </c>
      <c r="I147" t="str">
        <f>IF($B147="","",LOWER($B147)&amp;"|"&amp;TEXT(ROW(),"0000"))</f>
        <v>saw blade|0147</v>
      </c>
      <c r="J147">
        <f>IF(I147="","",COUNTIF($I$2:$I$501,"&lt;="&amp;I147))</f>
        <v>474</v>
      </c>
      <c r="K147" s="4" t="s">
        <v>11</v>
      </c>
    </row>
    <row r="148" spans="1:11" x14ac:dyDescent="0.35">
      <c r="A148" t="s">
        <v>15</v>
      </c>
      <c r="B148" t="s">
        <v>74</v>
      </c>
      <c r="C148" t="s">
        <v>16</v>
      </c>
      <c r="D148">
        <v>0</v>
      </c>
      <c r="E148" s="7" t="s">
        <v>109</v>
      </c>
      <c r="F148" s="4" t="s">
        <v>11</v>
      </c>
      <c r="G148" t="s">
        <v>12</v>
      </c>
      <c r="H148" s="4" t="s">
        <v>11</v>
      </c>
      <c r="I148" t="str">
        <f>IF($B148="","",LOWER($B148)&amp;"|"&amp;TEXT(ROW(),"0000"))</f>
        <v>screw|0148</v>
      </c>
      <c r="J148">
        <f>IF(I148="","",COUNTIF($I$2:$I$501,"&lt;="&amp;I148))</f>
        <v>475</v>
      </c>
      <c r="K148" s="4" t="s">
        <v>109</v>
      </c>
    </row>
    <row r="149" spans="1:11" x14ac:dyDescent="0.35">
      <c r="A149" t="s">
        <v>15</v>
      </c>
      <c r="B149" t="s">
        <v>74</v>
      </c>
      <c r="C149" t="s">
        <v>17</v>
      </c>
      <c r="D149">
        <v>0</v>
      </c>
      <c r="E149" s="7" t="s">
        <v>109</v>
      </c>
      <c r="F149" s="4" t="s">
        <v>11</v>
      </c>
      <c r="G149" t="s">
        <v>12</v>
      </c>
      <c r="H149" s="4" t="s">
        <v>11</v>
      </c>
      <c r="I149" t="str">
        <f>IF($B149="","",LOWER($B149)&amp;"|"&amp;TEXT(ROW(),"0000"))</f>
        <v>screw|0149</v>
      </c>
      <c r="J149">
        <f>IF(I149="","",COUNTIF($I$2:$I$501,"&lt;="&amp;I149))</f>
        <v>476</v>
      </c>
      <c r="K149" s="4" t="s">
        <v>109</v>
      </c>
    </row>
    <row r="150" spans="1:11" x14ac:dyDescent="0.35">
      <c r="A150" t="s">
        <v>15</v>
      </c>
      <c r="B150" t="s">
        <v>74</v>
      </c>
      <c r="C150" t="s">
        <v>18</v>
      </c>
      <c r="D150">
        <v>5</v>
      </c>
      <c r="E150" s="7" t="s">
        <v>109</v>
      </c>
      <c r="F150" s="5" t="s">
        <v>22</v>
      </c>
      <c r="G150" t="s">
        <v>12</v>
      </c>
      <c r="H150" s="5" t="s">
        <v>11</v>
      </c>
      <c r="I150" t="str">
        <f>IF($B150="","",LOWER($B150)&amp;"|"&amp;TEXT(ROW(),"0000"))</f>
        <v>screw|0150</v>
      </c>
      <c r="J150">
        <f>IF(I150="","",COUNTIF($I$2:$I$501,"&lt;="&amp;I150))</f>
        <v>477</v>
      </c>
      <c r="K150" s="4" t="s">
        <v>109</v>
      </c>
    </row>
    <row r="151" spans="1:11" x14ac:dyDescent="0.35">
      <c r="A151" t="s">
        <v>15</v>
      </c>
      <c r="B151" t="s">
        <v>74</v>
      </c>
      <c r="C151" t="s">
        <v>19</v>
      </c>
      <c r="D151">
        <v>0</v>
      </c>
      <c r="E151" s="7" t="s">
        <v>109</v>
      </c>
      <c r="F151" s="4" t="s">
        <v>11</v>
      </c>
      <c r="G151" t="s">
        <v>12</v>
      </c>
      <c r="H151" s="4" t="s">
        <v>11</v>
      </c>
      <c r="I151" t="str">
        <f>IF($B151="","",LOWER($B151)&amp;"|"&amp;TEXT(ROW(),"0000"))</f>
        <v>screw|0151</v>
      </c>
      <c r="J151">
        <f>IF(I151="","",COUNTIF($I$2:$I$501,"&lt;="&amp;I151))</f>
        <v>478</v>
      </c>
      <c r="K151" s="4" t="s">
        <v>109</v>
      </c>
    </row>
    <row r="152" spans="1:11" x14ac:dyDescent="0.35">
      <c r="A152" t="s">
        <v>15</v>
      </c>
      <c r="B152" t="s">
        <v>74</v>
      </c>
      <c r="C152" t="s">
        <v>20</v>
      </c>
      <c r="D152">
        <v>0</v>
      </c>
      <c r="E152" s="7" t="s">
        <v>109</v>
      </c>
      <c r="F152" s="4" t="s">
        <v>11</v>
      </c>
      <c r="G152" t="s">
        <v>12</v>
      </c>
      <c r="H152" s="4" t="s">
        <v>11</v>
      </c>
      <c r="I152" t="str">
        <f>IF($B152="","",LOWER($B152)&amp;"|"&amp;TEXT(ROW(),"0000"))</f>
        <v>screw|0152</v>
      </c>
      <c r="J152">
        <f>IF(I152="","",COUNTIF($I$2:$I$501,"&lt;="&amp;I152))</f>
        <v>479</v>
      </c>
      <c r="K152" s="4" t="s">
        <v>109</v>
      </c>
    </row>
    <row r="153" spans="1:11" x14ac:dyDescent="0.35">
      <c r="A153" t="s">
        <v>13</v>
      </c>
      <c r="B153" t="s">
        <v>75</v>
      </c>
      <c r="C153" t="s">
        <v>10</v>
      </c>
      <c r="D153">
        <v>2</v>
      </c>
      <c r="E153" s="4" t="s">
        <v>11</v>
      </c>
      <c r="F153" s="5" t="s">
        <v>22</v>
      </c>
      <c r="G153" t="s">
        <v>12</v>
      </c>
      <c r="H153" s="5" t="s">
        <v>11</v>
      </c>
      <c r="I153" t="str">
        <f>IF($B153="","",LOWER($B153)&amp;"|"&amp;TEXT(ROW(),"0000"))</f>
        <v>screwdriver head|0153</v>
      </c>
      <c r="J153">
        <f>IF(I153="","",COUNTIF($I$2:$I$501,"&lt;="&amp;I153))</f>
        <v>480</v>
      </c>
      <c r="K153" s="4" t="s">
        <v>11</v>
      </c>
    </row>
    <row r="154" spans="1:11" x14ac:dyDescent="0.35">
      <c r="A154" t="s">
        <v>28</v>
      </c>
      <c r="B154" t="s">
        <v>76</v>
      </c>
      <c r="C154" t="s">
        <v>10</v>
      </c>
      <c r="D154">
        <v>0</v>
      </c>
      <c r="E154" s="7" t="s">
        <v>109</v>
      </c>
      <c r="F154" s="4" t="s">
        <v>11</v>
      </c>
      <c r="G154" t="s">
        <v>12</v>
      </c>
      <c r="H154" s="4" t="s">
        <v>11</v>
      </c>
      <c r="I154" t="str">
        <f>IF($B154="","",LOWER($B154)&amp;"|"&amp;TEXT(ROW(),"0000"))</f>
        <v>sensor|0154</v>
      </c>
      <c r="J154">
        <f>IF(I154="","",COUNTIF($I$2:$I$501,"&lt;="&amp;I154))</f>
        <v>481</v>
      </c>
      <c r="K154" s="4" t="s">
        <v>109</v>
      </c>
    </row>
    <row r="155" spans="1:11" x14ac:dyDescent="0.35">
      <c r="A155" t="s">
        <v>13</v>
      </c>
      <c r="B155" t="s">
        <v>77</v>
      </c>
      <c r="C155" t="s">
        <v>10</v>
      </c>
      <c r="D155">
        <v>0</v>
      </c>
      <c r="E155" s="4" t="s">
        <v>11</v>
      </c>
      <c r="F155" s="4" t="s">
        <v>11</v>
      </c>
      <c r="G155" t="s">
        <v>12</v>
      </c>
      <c r="H155" s="4" t="s">
        <v>11</v>
      </c>
      <c r="I155" t="str">
        <f>IF($B155="","",LOWER($B155)&amp;"|"&amp;TEXT(ROW(),"0000"))</f>
        <v>shovel head|0155</v>
      </c>
      <c r="J155">
        <f>IF(I155="","",COUNTIF($I$2:$I$501,"&lt;="&amp;I155))</f>
        <v>482</v>
      </c>
      <c r="K155" s="4" t="s">
        <v>11</v>
      </c>
    </row>
    <row r="156" spans="1:11" x14ac:dyDescent="0.35">
      <c r="A156" t="s">
        <v>15</v>
      </c>
      <c r="B156" t="s">
        <v>78</v>
      </c>
      <c r="C156" t="s">
        <v>16</v>
      </c>
      <c r="D156">
        <v>0</v>
      </c>
      <c r="E156" s="7" t="s">
        <v>109</v>
      </c>
      <c r="F156" s="4" t="s">
        <v>11</v>
      </c>
      <c r="G156" t="s">
        <v>12</v>
      </c>
      <c r="H156" s="4" t="s">
        <v>11</v>
      </c>
      <c r="I156" t="str">
        <f>IF($B156="","",LOWER($B156)&amp;"|"&amp;TEXT(ROW(),"0000"))</f>
        <v>spring|0156</v>
      </c>
      <c r="J156">
        <f>IF(I156="","",COUNTIF($I$2:$I$501,"&lt;="&amp;I156))</f>
        <v>483</v>
      </c>
      <c r="K156" s="4" t="s">
        <v>109</v>
      </c>
    </row>
    <row r="157" spans="1:11" x14ac:dyDescent="0.35">
      <c r="A157" t="s">
        <v>15</v>
      </c>
      <c r="B157" t="s">
        <v>78</v>
      </c>
      <c r="C157" t="s">
        <v>17</v>
      </c>
      <c r="D157">
        <v>0</v>
      </c>
      <c r="E157" s="7" t="s">
        <v>109</v>
      </c>
      <c r="F157" s="6" t="s">
        <v>11</v>
      </c>
      <c r="G157" t="s">
        <v>12</v>
      </c>
      <c r="H157" s="5" t="s">
        <v>11</v>
      </c>
      <c r="I157" t="str">
        <f>IF($B157="","",LOWER($B157)&amp;"|"&amp;TEXT(ROW(),"0000"))</f>
        <v>spring|0157</v>
      </c>
      <c r="J157">
        <f>IF(I157="","",COUNTIF($I$2:$I$501,"&lt;="&amp;I157))</f>
        <v>484</v>
      </c>
      <c r="K157" s="4" t="s">
        <v>109</v>
      </c>
    </row>
    <row r="158" spans="1:11" x14ac:dyDescent="0.35">
      <c r="A158" t="s">
        <v>15</v>
      </c>
      <c r="B158" t="s">
        <v>78</v>
      </c>
      <c r="C158" t="s">
        <v>18</v>
      </c>
      <c r="D158">
        <v>3</v>
      </c>
      <c r="E158" s="7" t="s">
        <v>109</v>
      </c>
      <c r="F158" s="5" t="s">
        <v>22</v>
      </c>
      <c r="G158" t="s">
        <v>12</v>
      </c>
      <c r="H158" s="5" t="s">
        <v>11</v>
      </c>
      <c r="I158" t="str">
        <f>IF($B158="","",LOWER($B158)&amp;"|"&amp;TEXT(ROW(),"0000"))</f>
        <v>spring|0158</v>
      </c>
      <c r="J158">
        <f>IF(I158="","",COUNTIF($I$2:$I$501,"&lt;="&amp;I158))</f>
        <v>485</v>
      </c>
      <c r="K158" s="4" t="s">
        <v>109</v>
      </c>
    </row>
    <row r="159" spans="1:11" x14ac:dyDescent="0.35">
      <c r="A159" t="s">
        <v>15</v>
      </c>
      <c r="B159" t="s">
        <v>78</v>
      </c>
      <c r="C159" t="s">
        <v>19</v>
      </c>
      <c r="D159">
        <v>3</v>
      </c>
      <c r="E159" s="7" t="s">
        <v>109</v>
      </c>
      <c r="F159" s="7" t="s">
        <v>22</v>
      </c>
      <c r="G159" t="s">
        <v>12</v>
      </c>
      <c r="H159" s="4" t="s">
        <v>11</v>
      </c>
      <c r="I159" t="str">
        <f>IF($B159="","",LOWER($B159)&amp;"|"&amp;TEXT(ROW(),"0000"))</f>
        <v>spring|0159</v>
      </c>
      <c r="J159">
        <f>IF(I159="","",COUNTIF($I$2:$I$501,"&lt;="&amp;I159))</f>
        <v>486</v>
      </c>
      <c r="K159" s="4" t="s">
        <v>109</v>
      </c>
    </row>
    <row r="160" spans="1:11" x14ac:dyDescent="0.35">
      <c r="A160" t="s">
        <v>15</v>
      </c>
      <c r="B160" t="s">
        <v>78</v>
      </c>
      <c r="C160" t="s">
        <v>20</v>
      </c>
      <c r="D160">
        <v>0</v>
      </c>
      <c r="E160" s="7" t="s">
        <v>109</v>
      </c>
      <c r="F160" s="4" t="s">
        <v>11</v>
      </c>
      <c r="G160" t="s">
        <v>12</v>
      </c>
      <c r="H160" s="4" t="s">
        <v>11</v>
      </c>
      <c r="I160" t="str">
        <f>IF($B160="","",LOWER($B160)&amp;"|"&amp;TEXT(ROW(),"0000"))</f>
        <v>spring|0160</v>
      </c>
      <c r="J160">
        <f>IF(I160="","",COUNTIF($I$2:$I$501,"&lt;="&amp;I160))</f>
        <v>487</v>
      </c>
      <c r="K160" s="4" t="s">
        <v>109</v>
      </c>
    </row>
    <row r="161" spans="1:11" x14ac:dyDescent="0.35">
      <c r="A161" t="s">
        <v>13</v>
      </c>
      <c r="B161" t="s">
        <v>79</v>
      </c>
      <c r="C161" t="s">
        <v>10</v>
      </c>
      <c r="D161">
        <v>0</v>
      </c>
      <c r="E161" s="4" t="s">
        <v>11</v>
      </c>
      <c r="F161" s="4" t="s">
        <v>11</v>
      </c>
      <c r="G161" t="s">
        <v>12</v>
      </c>
      <c r="H161" s="4" t="s">
        <v>11</v>
      </c>
      <c r="I161" t="str">
        <f>IF($B161="","",LOWER($B161)&amp;"|"&amp;TEXT(ROW(),"0000"))</f>
        <v>tool binding|0161</v>
      </c>
      <c r="J161">
        <f>IF(I161="","",COUNTIF($I$2:$I$501,"&lt;="&amp;I161))</f>
        <v>488</v>
      </c>
      <c r="K161" s="4" t="s">
        <v>11</v>
      </c>
    </row>
    <row r="162" spans="1:11" x14ac:dyDescent="0.35">
      <c r="A162" t="s">
        <v>13</v>
      </c>
      <c r="B162" t="s">
        <v>80</v>
      </c>
      <c r="C162" t="s">
        <v>10</v>
      </c>
      <c r="D162">
        <v>0</v>
      </c>
      <c r="E162" s="4" t="s">
        <v>11</v>
      </c>
      <c r="F162" s="4" t="s">
        <v>11</v>
      </c>
      <c r="G162" t="s">
        <v>12</v>
      </c>
      <c r="H162" s="4" t="s">
        <v>11</v>
      </c>
      <c r="I162" t="str">
        <f>IF($B162="","",LOWER($B162)&amp;"|"&amp;TEXT(ROW(),"0000"))</f>
        <v>tool grip|0162</v>
      </c>
      <c r="J162">
        <f>IF(I162="","",COUNTIF($I$2:$I$501,"&lt;="&amp;I162))</f>
        <v>489</v>
      </c>
      <c r="K162" s="4" t="s">
        <v>11</v>
      </c>
    </row>
    <row r="163" spans="1:11" x14ac:dyDescent="0.35">
      <c r="A163" t="s">
        <v>13</v>
      </c>
      <c r="B163" t="s">
        <v>81</v>
      </c>
      <c r="C163" t="s">
        <v>10</v>
      </c>
      <c r="D163">
        <v>0</v>
      </c>
      <c r="E163" s="4" t="s">
        <v>11</v>
      </c>
      <c r="F163" s="4" t="s">
        <v>11</v>
      </c>
      <c r="G163" t="s">
        <v>12</v>
      </c>
      <c r="H163" s="4" t="s">
        <v>11</v>
      </c>
      <c r="I163" t="str">
        <f>IF($B163="","",LOWER($B163)&amp;"|"&amp;TEXT(ROW(),"0000"))</f>
        <v>tool handle|0163</v>
      </c>
      <c r="J163">
        <f>IF(I163="","",COUNTIF($I$2:$I$501,"&lt;="&amp;I163))</f>
        <v>490</v>
      </c>
      <c r="K163" s="4" t="s">
        <v>11</v>
      </c>
    </row>
    <row r="164" spans="1:11" x14ac:dyDescent="0.35">
      <c r="A164" t="s">
        <v>13</v>
      </c>
      <c r="B164" t="s">
        <v>82</v>
      </c>
      <c r="C164" t="s">
        <v>10</v>
      </c>
      <c r="D164">
        <v>0</v>
      </c>
      <c r="E164" s="4" t="s">
        <v>11</v>
      </c>
      <c r="F164" s="4" t="s">
        <v>11</v>
      </c>
      <c r="G164" t="s">
        <v>12</v>
      </c>
      <c r="H164" s="4" t="s">
        <v>11</v>
      </c>
      <c r="I164" t="str">
        <f>IF($B164="","",LOWER($B164)&amp;"|"&amp;TEXT(ROW(),"0000"))</f>
        <v>tool rod|0164</v>
      </c>
      <c r="J164">
        <f>IF(I164="","",COUNTIF($I$2:$I$501,"&lt;="&amp;I164))</f>
        <v>491</v>
      </c>
      <c r="K164" s="4" t="s">
        <v>11</v>
      </c>
    </row>
    <row r="165" spans="1:11" x14ac:dyDescent="0.35">
      <c r="A165" t="s">
        <v>15</v>
      </c>
      <c r="B165" t="s">
        <v>83</v>
      </c>
      <c r="C165" t="s">
        <v>94</v>
      </c>
      <c r="D165">
        <v>3</v>
      </c>
      <c r="E165" s="7" t="s">
        <v>109</v>
      </c>
      <c r="F165" s="7" t="s">
        <v>22</v>
      </c>
      <c r="G165" t="s">
        <v>12</v>
      </c>
      <c r="H165" s="5" t="s">
        <v>11</v>
      </c>
      <c r="I165" t="str">
        <f>IF($B165="","",LOWER($B165)&amp;"|"&amp;TEXT(ROW(),"0000"))</f>
        <v>turbine blade|0165</v>
      </c>
      <c r="J165">
        <f>IF(I165="","",COUNTIF($I$2:$I$501,"&lt;="&amp;I165))</f>
        <v>492</v>
      </c>
      <c r="K165" s="4" t="s">
        <v>109</v>
      </c>
    </row>
    <row r="166" spans="1:11" x14ac:dyDescent="0.35">
      <c r="A166" t="s">
        <v>31</v>
      </c>
      <c r="B166" t="s">
        <v>101</v>
      </c>
      <c r="C166" t="s">
        <v>10</v>
      </c>
      <c r="D166">
        <v>2</v>
      </c>
      <c r="E166" s="7" t="s">
        <v>109</v>
      </c>
      <c r="F166" s="7" t="s">
        <v>22</v>
      </c>
      <c r="G166" t="s">
        <v>12</v>
      </c>
      <c r="H166" s="5" t="s">
        <v>11</v>
      </c>
      <c r="I166" t="str">
        <f>IF($B166="","",LOWER($B166)&amp;"|"&amp;TEXT(ROW(),"0000"))</f>
        <v>washed crushed ore|0166</v>
      </c>
      <c r="J166">
        <f>IF(I166="","",COUNTIF($I$2:$I$501,"&lt;="&amp;I166))</f>
        <v>493</v>
      </c>
      <c r="K166" s="4" t="s">
        <v>109</v>
      </c>
    </row>
    <row r="167" spans="1:11" x14ac:dyDescent="0.35">
      <c r="A167" t="s">
        <v>15</v>
      </c>
      <c r="B167" t="s">
        <v>84</v>
      </c>
      <c r="C167" t="s">
        <v>95</v>
      </c>
      <c r="D167">
        <v>0</v>
      </c>
      <c r="E167" s="7" t="s">
        <v>109</v>
      </c>
      <c r="F167" s="4" t="s">
        <v>11</v>
      </c>
      <c r="G167" t="s">
        <v>12</v>
      </c>
      <c r="H167" s="5" t="s">
        <v>11</v>
      </c>
      <c r="I167" t="str">
        <f>IF($B167="","",LOWER($B167)&amp;"|"&amp;TEXT(ROW(),"0000"))</f>
        <v>wire|0167</v>
      </c>
      <c r="J167">
        <f>IF(I167="","",COUNTIF($I$2:$I$501,"&lt;="&amp;I167))</f>
        <v>495</v>
      </c>
      <c r="K167" s="4" t="s">
        <v>109</v>
      </c>
    </row>
    <row r="168" spans="1:11" x14ac:dyDescent="0.35">
      <c r="A168" t="s">
        <v>15</v>
      </c>
      <c r="B168" t="s">
        <v>84</v>
      </c>
      <c r="C168" t="s">
        <v>96</v>
      </c>
      <c r="D168">
        <v>0</v>
      </c>
      <c r="E168" s="7" t="s">
        <v>109</v>
      </c>
      <c r="F168" s="4" t="s">
        <v>11</v>
      </c>
      <c r="G168" t="s">
        <v>12</v>
      </c>
      <c r="H168" s="5" t="s">
        <v>11</v>
      </c>
      <c r="I168" t="str">
        <f>IF($B168="","",LOWER($B168)&amp;"|"&amp;TEXT(ROW(),"0000"))</f>
        <v>wire|0168</v>
      </c>
      <c r="J168">
        <f>IF(I168="","",COUNTIF($I$2:$I$501,"&lt;="&amp;I168))</f>
        <v>496</v>
      </c>
      <c r="K168" s="4" t="s">
        <v>109</v>
      </c>
    </row>
    <row r="169" spans="1:11" x14ac:dyDescent="0.35">
      <c r="A169" t="s">
        <v>15</v>
      </c>
      <c r="B169" t="s">
        <v>84</v>
      </c>
      <c r="C169" t="s">
        <v>97</v>
      </c>
      <c r="D169">
        <v>0</v>
      </c>
      <c r="E169" s="7" t="s">
        <v>109</v>
      </c>
      <c r="F169" s="4" t="s">
        <v>11</v>
      </c>
      <c r="G169" t="s">
        <v>12</v>
      </c>
      <c r="H169" s="5" t="s">
        <v>11</v>
      </c>
      <c r="I169" t="str">
        <f>IF($B169="","",LOWER($B169)&amp;"|"&amp;TEXT(ROW(),"0000"))</f>
        <v>wire|0169</v>
      </c>
      <c r="J169">
        <f>IF(I169="","",COUNTIF($I$2:$I$501,"&lt;="&amp;I169))</f>
        <v>497</v>
      </c>
      <c r="K169" s="4" t="s">
        <v>109</v>
      </c>
    </row>
    <row r="170" spans="1:11" x14ac:dyDescent="0.35">
      <c r="A170" t="s">
        <v>15</v>
      </c>
      <c r="B170" t="s">
        <v>84</v>
      </c>
      <c r="C170" t="s">
        <v>98</v>
      </c>
      <c r="D170">
        <v>0</v>
      </c>
      <c r="E170" s="7" t="s">
        <v>109</v>
      </c>
      <c r="F170" s="4" t="s">
        <v>11</v>
      </c>
      <c r="G170" t="s">
        <v>12</v>
      </c>
      <c r="H170" s="5" t="s">
        <v>11</v>
      </c>
      <c r="I170" t="str">
        <f>IF($B170="","",LOWER($B170)&amp;"|"&amp;TEXT(ROW(),"0000"))</f>
        <v>wire|0170</v>
      </c>
      <c r="J170">
        <f>IF(I170="","",COUNTIF($I$2:$I$501,"&lt;="&amp;I170))</f>
        <v>498</v>
      </c>
      <c r="K170" s="4" t="s">
        <v>109</v>
      </c>
    </row>
    <row r="171" spans="1:11" x14ac:dyDescent="0.35">
      <c r="A171" t="s">
        <v>15</v>
      </c>
      <c r="B171" t="s">
        <v>84</v>
      </c>
      <c r="C171" t="s">
        <v>99</v>
      </c>
      <c r="D171">
        <v>0</v>
      </c>
      <c r="E171" s="7" t="s">
        <v>109</v>
      </c>
      <c r="F171" s="4" t="s">
        <v>11</v>
      </c>
      <c r="G171" t="s">
        <v>12</v>
      </c>
      <c r="H171" s="5" t="s">
        <v>11</v>
      </c>
      <c r="I171" t="str">
        <f>IF($B171="","",LOWER($B171)&amp;"|"&amp;TEXT(ROW(),"0000"))</f>
        <v>wire|0171</v>
      </c>
      <c r="J171">
        <f>IF(I171="","",COUNTIF($I$2:$I$501,"&lt;="&amp;I171))</f>
        <v>499</v>
      </c>
      <c r="K171" s="4" t="s">
        <v>109</v>
      </c>
    </row>
    <row r="172" spans="1:11" x14ac:dyDescent="0.35">
      <c r="A172" t="s">
        <v>13</v>
      </c>
      <c r="B172" t="s">
        <v>85</v>
      </c>
      <c r="C172" t="s">
        <v>10</v>
      </c>
      <c r="D172">
        <v>0</v>
      </c>
      <c r="E172" s="4" t="s">
        <v>11</v>
      </c>
      <c r="F172" s="4" t="s">
        <v>11</v>
      </c>
      <c r="G172" t="s">
        <v>12</v>
      </c>
      <c r="H172" s="5" t="s">
        <v>11</v>
      </c>
      <c r="I172" t="str">
        <f>IF($B172="","",LOWER($B172)&amp;"|"&amp;TEXT(ROW(),"0000"))</f>
        <v>wire cutter head|0172</v>
      </c>
      <c r="J172">
        <f>IF(I172="","",COUNTIF($I$2:$I$501,"&lt;="&amp;I172))</f>
        <v>494</v>
      </c>
      <c r="K172" s="4" t="s">
        <v>11</v>
      </c>
    </row>
    <row r="173" spans="1:11" x14ac:dyDescent="0.35">
      <c r="A173" t="s">
        <v>13</v>
      </c>
      <c r="B173" t="s">
        <v>86</v>
      </c>
      <c r="C173" t="s">
        <v>10</v>
      </c>
      <c r="D173">
        <v>2</v>
      </c>
      <c r="E173" s="4" t="s">
        <v>11</v>
      </c>
      <c r="F173" s="7" t="s">
        <v>22</v>
      </c>
      <c r="G173" t="s">
        <v>12</v>
      </c>
      <c r="H173" s="5" t="s">
        <v>11</v>
      </c>
      <c r="I173" t="str">
        <f>IF($B173="","",LOWER($B173)&amp;"|"&amp;TEXT(ROW(),"0000"))</f>
        <v>wrench head|0173</v>
      </c>
      <c r="J173">
        <f>IF(I173="","",COUNTIF($I$2:$I$501,"&lt;="&amp;I173))</f>
        <v>500</v>
      </c>
      <c r="K173" s="4" t="s">
        <v>11</v>
      </c>
    </row>
    <row r="174" spans="1:11" x14ac:dyDescent="0.35">
      <c r="E174" s="3"/>
      <c r="F174" s="3"/>
      <c r="H174" s="3"/>
      <c r="I174" t="str">
        <f>IF($B174="","",LOWER($B174)&amp;"|"&amp;TEXT(ROW(),"0000"))</f>
        <v/>
      </c>
      <c r="J174" t="str">
        <f>IF(I174="","",COUNTIF($I$2:$I$501,"&lt;="&amp;I174))</f>
        <v/>
      </c>
      <c r="K174" s="3"/>
    </row>
    <row r="175" spans="1:11" x14ac:dyDescent="0.35">
      <c r="E175" s="3"/>
      <c r="F175" s="3"/>
      <c r="H175" s="3"/>
      <c r="I175" t="str">
        <f>IF($B175="","",LOWER($B175)&amp;"|"&amp;TEXT(ROW(),"0000"))</f>
        <v/>
      </c>
      <c r="J175" t="str">
        <f>IF(I175="","",COUNTIF($I$2:$I$501,"&lt;="&amp;I175))</f>
        <v/>
      </c>
      <c r="K175" s="3"/>
    </row>
    <row r="176" spans="1:11" x14ac:dyDescent="0.35">
      <c r="E176" s="3"/>
      <c r="F176" s="3"/>
      <c r="H176" s="3"/>
      <c r="I176" t="str">
        <f>IF($B176="","",LOWER($B176)&amp;"|"&amp;TEXT(ROW(),"0000"))</f>
        <v/>
      </c>
      <c r="J176" t="str">
        <f>IF(I176="","",COUNTIF($I$2:$I$501,"&lt;="&amp;I176))</f>
        <v/>
      </c>
      <c r="K176" s="3"/>
    </row>
    <row r="177" spans="5:11" x14ac:dyDescent="0.35">
      <c r="E177" s="3"/>
      <c r="F177" s="3"/>
      <c r="H177" s="3"/>
      <c r="I177" t="str">
        <f>IF($B177="","",LOWER($B177)&amp;"|"&amp;TEXT(ROW(),"0000"))</f>
        <v/>
      </c>
      <c r="J177" t="str">
        <f>IF(I177="","",COUNTIF($I$2:$I$501,"&lt;="&amp;I177))</f>
        <v/>
      </c>
      <c r="K177" s="3"/>
    </row>
    <row r="178" spans="5:11" x14ac:dyDescent="0.35">
      <c r="E178" s="3"/>
      <c r="F178" s="3"/>
      <c r="H178" s="3"/>
      <c r="I178" t="str">
        <f>IF($B178="","",LOWER($B178)&amp;"|"&amp;TEXT(ROW(),"0000"))</f>
        <v/>
      </c>
      <c r="J178" t="str">
        <f>IF(I178="","",COUNTIF($I$2:$I$501,"&lt;="&amp;I178))</f>
        <v/>
      </c>
      <c r="K178" s="3"/>
    </row>
    <row r="179" spans="5:11" x14ac:dyDescent="0.35">
      <c r="E179" s="3"/>
      <c r="F179" s="3"/>
      <c r="H179" s="3"/>
      <c r="I179" t="str">
        <f>IF($B179="","",LOWER($B179)&amp;"|"&amp;TEXT(ROW(),"0000"))</f>
        <v/>
      </c>
      <c r="J179" t="str">
        <f>IF(I179="","",COUNTIF($I$2:$I$501,"&lt;="&amp;I179))</f>
        <v/>
      </c>
      <c r="K179" s="3"/>
    </row>
    <row r="180" spans="5:11" x14ac:dyDescent="0.35">
      <c r="E180" s="3"/>
      <c r="F180" s="3"/>
      <c r="H180" s="3"/>
      <c r="I180" t="str">
        <f>IF($B180="","",LOWER($B180)&amp;"|"&amp;TEXT(ROW(),"0000"))</f>
        <v/>
      </c>
      <c r="J180" t="str">
        <f>IF(I180="","",COUNTIF($I$2:$I$501,"&lt;="&amp;I180))</f>
        <v/>
      </c>
      <c r="K180" s="3"/>
    </row>
    <row r="181" spans="5:11" x14ac:dyDescent="0.35">
      <c r="E181" s="3"/>
      <c r="F181" s="3"/>
      <c r="H181" s="3"/>
      <c r="I181" t="str">
        <f>IF($B181="","",LOWER($B181)&amp;"|"&amp;TEXT(ROW(),"0000"))</f>
        <v/>
      </c>
      <c r="J181" t="str">
        <f>IF(I181="","",COUNTIF($I$2:$I$501,"&lt;="&amp;I181))</f>
        <v/>
      </c>
      <c r="K181" s="3"/>
    </row>
    <row r="182" spans="5:11" x14ac:dyDescent="0.35">
      <c r="E182" s="3"/>
      <c r="F182" s="3"/>
      <c r="H182" s="3"/>
      <c r="I182" t="str">
        <f>IF($B182="","",LOWER($B182)&amp;"|"&amp;TEXT(ROW(),"0000"))</f>
        <v/>
      </c>
      <c r="J182" t="str">
        <f>IF(I182="","",COUNTIF($I$2:$I$501,"&lt;="&amp;I182))</f>
        <v/>
      </c>
      <c r="K182" s="3"/>
    </row>
    <row r="183" spans="5:11" x14ac:dyDescent="0.35">
      <c r="E183" s="3"/>
      <c r="F183" s="3"/>
      <c r="H183" s="3"/>
      <c r="I183" t="str">
        <f>IF($B183="","",LOWER($B183)&amp;"|"&amp;TEXT(ROW(),"0000"))</f>
        <v/>
      </c>
      <c r="J183" t="str">
        <f>IF(I183="","",COUNTIF($I$2:$I$501,"&lt;="&amp;I183))</f>
        <v/>
      </c>
      <c r="K183" s="3"/>
    </row>
    <row r="184" spans="5:11" x14ac:dyDescent="0.35">
      <c r="E184" s="3"/>
      <c r="F184" s="3"/>
      <c r="H184" s="3"/>
      <c r="I184" t="str">
        <f>IF($B184="","",LOWER($B184)&amp;"|"&amp;TEXT(ROW(),"0000"))</f>
        <v/>
      </c>
      <c r="J184" t="str">
        <f>IF(I184="","",COUNTIF($I$2:$I$501,"&lt;="&amp;I184))</f>
        <v/>
      </c>
      <c r="K184" s="3"/>
    </row>
    <row r="185" spans="5:11" x14ac:dyDescent="0.35">
      <c r="E185" s="3"/>
      <c r="F185" s="3"/>
      <c r="H185" s="3"/>
      <c r="I185" t="str">
        <f>IF($B185="","",LOWER($B185)&amp;"|"&amp;TEXT(ROW(),"0000"))</f>
        <v/>
      </c>
      <c r="J185" t="str">
        <f>IF(I185="","",COUNTIF($I$2:$I$501,"&lt;="&amp;I185))</f>
        <v/>
      </c>
      <c r="K185" s="3"/>
    </row>
    <row r="186" spans="5:11" x14ac:dyDescent="0.35">
      <c r="E186" s="3"/>
      <c r="F186" s="3"/>
      <c r="H186" s="3"/>
      <c r="I186" t="str">
        <f>IF($B186="","",LOWER($B186)&amp;"|"&amp;TEXT(ROW(),"0000"))</f>
        <v/>
      </c>
      <c r="J186" t="str">
        <f>IF(I186="","",COUNTIF($I$2:$I$501,"&lt;="&amp;I186))</f>
        <v/>
      </c>
      <c r="K186" s="3"/>
    </row>
    <row r="187" spans="5:11" x14ac:dyDescent="0.35">
      <c r="E187" s="3"/>
      <c r="F187" s="3"/>
      <c r="H187" s="3"/>
      <c r="I187" t="str">
        <f>IF($B187="","",LOWER($B187)&amp;"|"&amp;TEXT(ROW(),"0000"))</f>
        <v/>
      </c>
      <c r="J187" t="str">
        <f>IF(I187="","",COUNTIF($I$2:$I$501,"&lt;="&amp;I187))</f>
        <v/>
      </c>
      <c r="K187" s="3"/>
    </row>
    <row r="188" spans="5:11" x14ac:dyDescent="0.35">
      <c r="E188" s="3"/>
      <c r="F188" s="3"/>
      <c r="H188" s="3"/>
      <c r="I188" t="str">
        <f>IF($B188="","",LOWER($B188)&amp;"|"&amp;TEXT(ROW(),"0000"))</f>
        <v/>
      </c>
      <c r="J188" t="str">
        <f>IF(I188="","",COUNTIF($I$2:$I$501,"&lt;="&amp;I188))</f>
        <v/>
      </c>
      <c r="K188" s="3"/>
    </row>
    <row r="189" spans="5:11" x14ac:dyDescent="0.35">
      <c r="E189" s="3"/>
      <c r="F189" s="3"/>
      <c r="H189" s="3"/>
      <c r="I189" t="str">
        <f>IF($B189="","",LOWER($B189)&amp;"|"&amp;TEXT(ROW(),"0000"))</f>
        <v/>
      </c>
      <c r="J189" t="str">
        <f>IF(I189="","",COUNTIF($I$2:$I$501,"&lt;="&amp;I189))</f>
        <v/>
      </c>
      <c r="K189" s="3"/>
    </row>
    <row r="190" spans="5:11" x14ac:dyDescent="0.35">
      <c r="E190" s="3"/>
      <c r="F190" s="3"/>
      <c r="H190" s="3"/>
      <c r="I190" t="str">
        <f>IF($B190="","",LOWER($B190)&amp;"|"&amp;TEXT(ROW(),"0000"))</f>
        <v/>
      </c>
      <c r="J190" t="str">
        <f>IF(I190="","",COUNTIF($I$2:$I$501,"&lt;="&amp;I190))</f>
        <v/>
      </c>
      <c r="K190" s="3"/>
    </row>
    <row r="191" spans="5:11" x14ac:dyDescent="0.35">
      <c r="E191" s="3"/>
      <c r="F191" s="3"/>
      <c r="H191" s="3"/>
      <c r="I191" t="str">
        <f>IF($B191="","",LOWER($B191)&amp;"|"&amp;TEXT(ROW(),"0000"))</f>
        <v/>
      </c>
      <c r="J191" t="str">
        <f>IF(I191="","",COUNTIF($I$2:$I$501,"&lt;="&amp;I191))</f>
        <v/>
      </c>
      <c r="K191" s="3"/>
    </row>
    <row r="192" spans="5:11" x14ac:dyDescent="0.35">
      <c r="E192" s="3"/>
      <c r="F192" s="3"/>
      <c r="H192" s="3"/>
      <c r="I192" t="str">
        <f>IF($B192="","",LOWER($B192)&amp;"|"&amp;TEXT(ROW(),"0000"))</f>
        <v/>
      </c>
      <c r="J192" t="str">
        <f>IF(I192="","",COUNTIF($I$2:$I$501,"&lt;="&amp;I192))</f>
        <v/>
      </c>
      <c r="K192" s="3"/>
    </row>
    <row r="193" spans="5:11" x14ac:dyDescent="0.35">
      <c r="E193" s="3"/>
      <c r="F193" s="3"/>
      <c r="H193" s="3"/>
      <c r="I193" t="str">
        <f>IF($B193="","",LOWER($B193)&amp;"|"&amp;TEXT(ROW(),"0000"))</f>
        <v/>
      </c>
      <c r="J193" t="str">
        <f>IF(I193="","",COUNTIF($I$2:$I$501,"&lt;="&amp;I193))</f>
        <v/>
      </c>
      <c r="K193" s="3"/>
    </row>
    <row r="194" spans="5:11" x14ac:dyDescent="0.35">
      <c r="E194" s="3"/>
      <c r="F194" s="3"/>
      <c r="H194" s="3"/>
      <c r="I194" t="str">
        <f>IF($B194="","",LOWER($B194)&amp;"|"&amp;TEXT(ROW(),"0000"))</f>
        <v/>
      </c>
      <c r="J194" t="str">
        <f>IF(I194="","",COUNTIF($I$2:$I$501,"&lt;="&amp;I194))</f>
        <v/>
      </c>
      <c r="K194" s="3"/>
    </row>
    <row r="195" spans="5:11" x14ac:dyDescent="0.35">
      <c r="E195" s="3"/>
      <c r="F195" s="3"/>
      <c r="H195" s="3"/>
      <c r="I195" t="str">
        <f>IF($B195="","",LOWER($B195)&amp;"|"&amp;TEXT(ROW(),"0000"))</f>
        <v/>
      </c>
      <c r="J195" t="str">
        <f>IF(I195="","",COUNTIF($I$2:$I$501,"&lt;="&amp;I195))</f>
        <v/>
      </c>
      <c r="K195" s="3"/>
    </row>
    <row r="196" spans="5:11" x14ac:dyDescent="0.35">
      <c r="E196" s="3"/>
      <c r="F196" s="3"/>
      <c r="H196" s="3"/>
      <c r="I196" t="str">
        <f>IF($B196="","",LOWER($B196)&amp;"|"&amp;TEXT(ROW(),"0000"))</f>
        <v/>
      </c>
      <c r="J196" t="str">
        <f>IF(I196="","",COUNTIF($I$2:$I$501,"&lt;="&amp;I196))</f>
        <v/>
      </c>
      <c r="K196" s="3"/>
    </row>
    <row r="197" spans="5:11" x14ac:dyDescent="0.35">
      <c r="E197" s="3"/>
      <c r="F197" s="3"/>
      <c r="H197" s="3"/>
      <c r="I197" t="str">
        <f>IF($B197="","",LOWER($B197)&amp;"|"&amp;TEXT(ROW(),"0000"))</f>
        <v/>
      </c>
      <c r="J197" t="str">
        <f>IF(I197="","",COUNTIF($I$2:$I$501,"&lt;="&amp;I197))</f>
        <v/>
      </c>
      <c r="K197" s="3"/>
    </row>
    <row r="198" spans="5:11" x14ac:dyDescent="0.35">
      <c r="E198" s="3"/>
      <c r="F198" s="3"/>
      <c r="H198" s="3"/>
      <c r="I198" t="str">
        <f>IF($B198="","",LOWER($B198)&amp;"|"&amp;TEXT(ROW(),"0000"))</f>
        <v/>
      </c>
      <c r="J198" t="str">
        <f>IF(I198="","",COUNTIF($I$2:$I$501,"&lt;="&amp;I198))</f>
        <v/>
      </c>
      <c r="K198" s="3"/>
    </row>
    <row r="199" spans="5:11" x14ac:dyDescent="0.35">
      <c r="E199" s="3"/>
      <c r="F199" s="3"/>
      <c r="H199" s="3"/>
      <c r="I199" t="str">
        <f>IF($B199="","",LOWER($B199)&amp;"|"&amp;TEXT(ROW(),"0000"))</f>
        <v/>
      </c>
      <c r="J199" t="str">
        <f>IF(I199="","",COUNTIF($I$2:$I$501,"&lt;="&amp;I199))</f>
        <v/>
      </c>
      <c r="K199" s="3"/>
    </row>
    <row r="200" spans="5:11" x14ac:dyDescent="0.35">
      <c r="E200" s="3"/>
      <c r="F200" s="3"/>
      <c r="H200" s="3"/>
      <c r="I200" t="str">
        <f>IF($B200="","",LOWER($B200)&amp;"|"&amp;TEXT(ROW(),"0000"))</f>
        <v/>
      </c>
      <c r="J200" t="str">
        <f>IF(I200="","",COUNTIF($I$2:$I$501,"&lt;="&amp;I200))</f>
        <v/>
      </c>
      <c r="K200" s="3"/>
    </row>
    <row r="201" spans="5:11" x14ac:dyDescent="0.35">
      <c r="E201" s="3"/>
      <c r="F201" s="3"/>
      <c r="H201" s="3"/>
      <c r="I201" t="str">
        <f>IF($B201="","",LOWER($B201)&amp;"|"&amp;TEXT(ROW(),"0000"))</f>
        <v/>
      </c>
      <c r="J201" t="str">
        <f>IF(I201="","",COUNTIF($I$2:$I$501,"&lt;="&amp;I201))</f>
        <v/>
      </c>
      <c r="K201" s="3"/>
    </row>
    <row r="202" spans="5:11" x14ac:dyDescent="0.35">
      <c r="E202" s="3"/>
      <c r="F202" s="3"/>
      <c r="H202" s="3"/>
      <c r="I202" t="str">
        <f>IF($B202="","",LOWER($B202)&amp;"|"&amp;TEXT(ROW(),"0000"))</f>
        <v/>
      </c>
      <c r="J202" t="str">
        <f>IF(I202="","",COUNTIF($I$2:$I$501,"&lt;="&amp;I202))</f>
        <v/>
      </c>
      <c r="K202" s="3"/>
    </row>
    <row r="203" spans="5:11" x14ac:dyDescent="0.35">
      <c r="E203" s="3"/>
      <c r="F203" s="3"/>
      <c r="H203" s="3"/>
      <c r="I203" t="str">
        <f>IF($B203="","",LOWER($B203)&amp;"|"&amp;TEXT(ROW(),"0000"))</f>
        <v/>
      </c>
      <c r="J203" t="str">
        <f>IF(I203="","",COUNTIF($I$2:$I$501,"&lt;="&amp;I203))</f>
        <v/>
      </c>
      <c r="K203" s="3"/>
    </row>
    <row r="204" spans="5:11" x14ac:dyDescent="0.35">
      <c r="E204" s="3"/>
      <c r="F204" s="3"/>
      <c r="H204" s="3"/>
      <c r="I204" t="str">
        <f>IF($B204="","",LOWER($B204)&amp;"|"&amp;TEXT(ROW(),"0000"))</f>
        <v/>
      </c>
      <c r="J204" t="str">
        <f>IF(I204="","",COUNTIF($I$2:$I$501,"&lt;="&amp;I204))</f>
        <v/>
      </c>
      <c r="K204" s="3"/>
    </row>
    <row r="205" spans="5:11" x14ac:dyDescent="0.35">
      <c r="E205" s="3"/>
      <c r="F205" s="3"/>
      <c r="H205" s="3"/>
      <c r="I205" t="str">
        <f>IF($B205="","",LOWER($B205)&amp;"|"&amp;TEXT(ROW(),"0000"))</f>
        <v/>
      </c>
      <c r="J205" t="str">
        <f>IF(I205="","",COUNTIF($I$2:$I$501,"&lt;="&amp;I205))</f>
        <v/>
      </c>
      <c r="K205" s="3"/>
    </row>
    <row r="206" spans="5:11" x14ac:dyDescent="0.35">
      <c r="E206" s="3"/>
      <c r="F206" s="3"/>
      <c r="H206" s="3"/>
      <c r="I206" t="str">
        <f>IF($B206="","",LOWER($B206)&amp;"|"&amp;TEXT(ROW(),"0000"))</f>
        <v/>
      </c>
      <c r="J206" t="str">
        <f>IF(I206="","",COUNTIF($I$2:$I$501,"&lt;="&amp;I206))</f>
        <v/>
      </c>
      <c r="K206" s="3"/>
    </row>
    <row r="207" spans="5:11" x14ac:dyDescent="0.35">
      <c r="E207" s="3"/>
      <c r="F207" s="3"/>
      <c r="H207" s="3"/>
      <c r="I207" t="str">
        <f>IF($B207="","",LOWER($B207)&amp;"|"&amp;TEXT(ROW(),"0000"))</f>
        <v/>
      </c>
      <c r="J207" t="str">
        <f>IF(I207="","",COUNTIF($I$2:$I$501,"&lt;="&amp;I207))</f>
        <v/>
      </c>
      <c r="K207" s="3"/>
    </row>
    <row r="208" spans="5:11" x14ac:dyDescent="0.35">
      <c r="E208" s="3"/>
      <c r="F208" s="3"/>
      <c r="H208" s="3"/>
      <c r="I208" t="str">
        <f>IF($B208="","",LOWER($B208)&amp;"|"&amp;TEXT(ROW(),"0000"))</f>
        <v/>
      </c>
      <c r="J208" t="str">
        <f>IF(I208="","",COUNTIF($I$2:$I$501,"&lt;="&amp;I208))</f>
        <v/>
      </c>
      <c r="K208" s="3"/>
    </row>
    <row r="209" spans="5:11" x14ac:dyDescent="0.35">
      <c r="E209" s="3"/>
      <c r="F209" s="3"/>
      <c r="H209" s="3"/>
      <c r="I209" t="str">
        <f>IF($B209="","",LOWER($B209)&amp;"|"&amp;TEXT(ROW(),"0000"))</f>
        <v/>
      </c>
      <c r="J209" t="str">
        <f>IF(I209="","",COUNTIF($I$2:$I$501,"&lt;="&amp;I209))</f>
        <v/>
      </c>
      <c r="K209" s="3"/>
    </row>
    <row r="210" spans="5:11" x14ac:dyDescent="0.35">
      <c r="E210" s="3"/>
      <c r="F210" s="3"/>
      <c r="H210" s="3"/>
      <c r="I210" t="str">
        <f>IF($B210="","",LOWER($B210)&amp;"|"&amp;TEXT(ROW(),"0000"))</f>
        <v/>
      </c>
      <c r="J210" t="str">
        <f>IF(I210="","",COUNTIF($I$2:$I$501,"&lt;="&amp;I210))</f>
        <v/>
      </c>
      <c r="K210" s="3"/>
    </row>
    <row r="211" spans="5:11" x14ac:dyDescent="0.35">
      <c r="E211" s="3"/>
      <c r="F211" s="3"/>
      <c r="H211" s="3"/>
      <c r="I211" t="str">
        <f>IF($B211="","",LOWER($B211)&amp;"|"&amp;TEXT(ROW(),"0000"))</f>
        <v/>
      </c>
      <c r="J211" t="str">
        <f>IF(I211="","",COUNTIF($I$2:$I$501,"&lt;="&amp;I211))</f>
        <v/>
      </c>
      <c r="K211" s="3"/>
    </row>
    <row r="212" spans="5:11" x14ac:dyDescent="0.35">
      <c r="E212" s="3"/>
      <c r="F212" s="3"/>
      <c r="H212" s="3"/>
      <c r="I212" t="str">
        <f>IF($B212="","",LOWER($B212)&amp;"|"&amp;TEXT(ROW(),"0000"))</f>
        <v/>
      </c>
      <c r="J212" t="str">
        <f>IF(I212="","",COUNTIF($I$2:$I$501,"&lt;="&amp;I212))</f>
        <v/>
      </c>
      <c r="K212" s="3"/>
    </row>
    <row r="213" spans="5:11" x14ac:dyDescent="0.35">
      <c r="E213" s="3"/>
      <c r="F213" s="3"/>
      <c r="H213" s="3"/>
      <c r="I213" t="str">
        <f>IF($B213="","",LOWER($B213)&amp;"|"&amp;TEXT(ROW(),"0000"))</f>
        <v/>
      </c>
      <c r="J213" t="str">
        <f>IF(I213="","",COUNTIF($I$2:$I$501,"&lt;="&amp;I213))</f>
        <v/>
      </c>
      <c r="K213" s="3"/>
    </row>
    <row r="214" spans="5:11" x14ac:dyDescent="0.35">
      <c r="E214" s="3"/>
      <c r="F214" s="3"/>
      <c r="H214" s="3"/>
      <c r="I214" t="str">
        <f>IF($B214="","",LOWER($B214)&amp;"|"&amp;TEXT(ROW(),"0000"))</f>
        <v/>
      </c>
      <c r="J214" t="str">
        <f>IF(I214="","",COUNTIF($I$2:$I$501,"&lt;="&amp;I214))</f>
        <v/>
      </c>
      <c r="K214" s="3"/>
    </row>
    <row r="215" spans="5:11" x14ac:dyDescent="0.35">
      <c r="E215" s="3"/>
      <c r="F215" s="3"/>
      <c r="H215" s="3"/>
      <c r="I215" t="str">
        <f>IF($B215="","",LOWER($B215)&amp;"|"&amp;TEXT(ROW(),"0000"))</f>
        <v/>
      </c>
      <c r="J215" t="str">
        <f>IF(I215="","",COUNTIF($I$2:$I$501,"&lt;="&amp;I215))</f>
        <v/>
      </c>
      <c r="K215" s="3"/>
    </row>
    <row r="216" spans="5:11" x14ac:dyDescent="0.35">
      <c r="E216" s="3"/>
      <c r="F216" s="3"/>
      <c r="H216" s="3"/>
      <c r="I216" t="str">
        <f>IF($B216="","",LOWER($B216)&amp;"|"&amp;TEXT(ROW(),"0000"))</f>
        <v/>
      </c>
      <c r="J216" t="str">
        <f>IF(I216="","",COUNTIF($I$2:$I$501,"&lt;="&amp;I216))</f>
        <v/>
      </c>
      <c r="K216" s="3"/>
    </row>
    <row r="217" spans="5:11" x14ac:dyDescent="0.35">
      <c r="E217" s="3"/>
      <c r="F217" s="3"/>
      <c r="H217" s="3"/>
      <c r="I217" t="str">
        <f>IF($B217="","",LOWER($B217)&amp;"|"&amp;TEXT(ROW(),"0000"))</f>
        <v/>
      </c>
      <c r="J217" t="str">
        <f>IF(I217="","",COUNTIF($I$2:$I$501,"&lt;="&amp;I217))</f>
        <v/>
      </c>
      <c r="K217" s="3"/>
    </row>
    <row r="218" spans="5:11" x14ac:dyDescent="0.35">
      <c r="E218" s="3"/>
      <c r="F218" s="3"/>
      <c r="H218" s="3"/>
      <c r="I218" t="str">
        <f>IF($B218="","",LOWER($B218)&amp;"|"&amp;TEXT(ROW(),"0000"))</f>
        <v/>
      </c>
      <c r="J218" t="str">
        <f>IF(I218="","",COUNTIF($I$2:$I$501,"&lt;="&amp;I218))</f>
        <v/>
      </c>
      <c r="K218" s="3"/>
    </row>
    <row r="219" spans="5:11" x14ac:dyDescent="0.35">
      <c r="E219" s="3"/>
      <c r="F219" s="3"/>
      <c r="H219" s="3"/>
      <c r="I219" t="str">
        <f>IF($B219="","",LOWER($B219)&amp;"|"&amp;TEXT(ROW(),"0000"))</f>
        <v/>
      </c>
      <c r="J219" t="str">
        <f>IF(I219="","",COUNTIF($I$2:$I$501,"&lt;="&amp;I219))</f>
        <v/>
      </c>
      <c r="K219" s="3"/>
    </row>
    <row r="220" spans="5:11" x14ac:dyDescent="0.35">
      <c r="E220" s="3"/>
      <c r="F220" s="3"/>
      <c r="H220" s="3"/>
      <c r="I220" t="str">
        <f>IF($B220="","",LOWER($B220)&amp;"|"&amp;TEXT(ROW(),"0000"))</f>
        <v/>
      </c>
      <c r="J220" t="str">
        <f>IF(I220="","",COUNTIF($I$2:$I$501,"&lt;="&amp;I220))</f>
        <v/>
      </c>
      <c r="K220" s="3"/>
    </row>
    <row r="221" spans="5:11" x14ac:dyDescent="0.35">
      <c r="E221" s="3"/>
      <c r="F221" s="3"/>
      <c r="H221" s="3"/>
      <c r="I221" t="str">
        <f>IF($B221="","",LOWER($B221)&amp;"|"&amp;TEXT(ROW(),"0000"))</f>
        <v/>
      </c>
      <c r="J221" t="str">
        <f>IF(I221="","",COUNTIF($I$2:$I$501,"&lt;="&amp;I221))</f>
        <v/>
      </c>
      <c r="K221" s="3"/>
    </row>
    <row r="222" spans="5:11" x14ac:dyDescent="0.35">
      <c r="E222" s="3"/>
      <c r="F222" s="3"/>
      <c r="H222" s="3"/>
      <c r="I222" t="str">
        <f>IF($B222="","",LOWER($B222)&amp;"|"&amp;TEXT(ROW(),"0000"))</f>
        <v/>
      </c>
      <c r="J222" t="str">
        <f>IF(I222="","",COUNTIF($I$2:$I$501,"&lt;="&amp;I222))</f>
        <v/>
      </c>
      <c r="K222" s="3"/>
    </row>
    <row r="223" spans="5:11" x14ac:dyDescent="0.35">
      <c r="E223" s="3"/>
      <c r="F223" s="3"/>
      <c r="H223" s="3"/>
      <c r="I223" t="str">
        <f>IF($B223="","",LOWER($B223)&amp;"|"&amp;TEXT(ROW(),"0000"))</f>
        <v/>
      </c>
      <c r="J223" t="str">
        <f>IF(I223="","",COUNTIF($I$2:$I$501,"&lt;="&amp;I223))</f>
        <v/>
      </c>
      <c r="K223" s="3"/>
    </row>
    <row r="224" spans="5:11" x14ac:dyDescent="0.35">
      <c r="E224" s="3"/>
      <c r="F224" s="3"/>
      <c r="H224" s="3"/>
      <c r="I224" t="str">
        <f>IF($B224="","",LOWER($B224)&amp;"|"&amp;TEXT(ROW(),"0000"))</f>
        <v/>
      </c>
      <c r="J224" t="str">
        <f>IF(I224="","",COUNTIF($I$2:$I$501,"&lt;="&amp;I224))</f>
        <v/>
      </c>
      <c r="K224" s="3"/>
    </row>
    <row r="225" spans="5:11" x14ac:dyDescent="0.35">
      <c r="E225" s="3"/>
      <c r="F225" s="3"/>
      <c r="H225" s="3"/>
      <c r="I225" t="str">
        <f>IF($B225="","",LOWER($B225)&amp;"|"&amp;TEXT(ROW(),"0000"))</f>
        <v/>
      </c>
      <c r="J225" t="str">
        <f>IF(I225="","",COUNTIF($I$2:$I$501,"&lt;="&amp;I225))</f>
        <v/>
      </c>
      <c r="K225" s="3"/>
    </row>
    <row r="226" spans="5:11" x14ac:dyDescent="0.35">
      <c r="E226" s="3"/>
      <c r="F226" s="3"/>
      <c r="H226" s="3"/>
      <c r="I226" t="str">
        <f>IF($B226="","",LOWER($B226)&amp;"|"&amp;TEXT(ROW(),"0000"))</f>
        <v/>
      </c>
      <c r="J226" t="str">
        <f>IF(I226="","",COUNTIF($I$2:$I$501,"&lt;="&amp;I226))</f>
        <v/>
      </c>
      <c r="K226" s="3"/>
    </row>
    <row r="227" spans="5:11" x14ac:dyDescent="0.35">
      <c r="E227" s="3"/>
      <c r="F227" s="3"/>
      <c r="H227" s="3"/>
      <c r="I227" t="str">
        <f>IF($B227="","",LOWER($B227)&amp;"|"&amp;TEXT(ROW(),"0000"))</f>
        <v/>
      </c>
      <c r="J227" t="str">
        <f>IF(I227="","",COUNTIF($I$2:$I$501,"&lt;="&amp;I227))</f>
        <v/>
      </c>
      <c r="K227" s="3"/>
    </row>
    <row r="228" spans="5:11" x14ac:dyDescent="0.35">
      <c r="E228" s="3"/>
      <c r="F228" s="3"/>
      <c r="H228" s="3"/>
      <c r="I228" t="str">
        <f>IF($B228="","",LOWER($B228)&amp;"|"&amp;TEXT(ROW(),"0000"))</f>
        <v/>
      </c>
      <c r="J228" t="str">
        <f>IF(I228="","",COUNTIF($I$2:$I$501,"&lt;="&amp;I228))</f>
        <v/>
      </c>
      <c r="K228" s="3"/>
    </row>
    <row r="229" spans="5:11" x14ac:dyDescent="0.35">
      <c r="E229" s="3"/>
      <c r="F229" s="3"/>
      <c r="H229" s="3"/>
      <c r="I229" t="str">
        <f>IF($B229="","",LOWER($B229)&amp;"|"&amp;TEXT(ROW(),"0000"))</f>
        <v/>
      </c>
      <c r="J229" t="str">
        <f>IF(I229="","",COUNTIF($I$2:$I$501,"&lt;="&amp;I229))</f>
        <v/>
      </c>
      <c r="K229" s="3"/>
    </row>
    <row r="230" spans="5:11" x14ac:dyDescent="0.35">
      <c r="E230" s="3"/>
      <c r="F230" s="3"/>
      <c r="H230" s="3"/>
      <c r="I230" t="str">
        <f>IF($B230="","",LOWER($B230)&amp;"|"&amp;TEXT(ROW(),"0000"))</f>
        <v/>
      </c>
      <c r="J230" t="str">
        <f>IF(I230="","",COUNTIF($I$2:$I$501,"&lt;="&amp;I230))</f>
        <v/>
      </c>
      <c r="K230" s="3"/>
    </row>
    <row r="231" spans="5:11" x14ac:dyDescent="0.35">
      <c r="E231" s="3"/>
      <c r="F231" s="3"/>
      <c r="H231" s="3"/>
      <c r="I231" t="str">
        <f>IF($B231="","",LOWER($B231)&amp;"|"&amp;TEXT(ROW(),"0000"))</f>
        <v/>
      </c>
      <c r="J231" t="str">
        <f>IF(I231="","",COUNTIF($I$2:$I$501,"&lt;="&amp;I231))</f>
        <v/>
      </c>
      <c r="K231" s="3"/>
    </row>
    <row r="232" spans="5:11" x14ac:dyDescent="0.35">
      <c r="E232" s="3"/>
      <c r="F232" s="3"/>
      <c r="H232" s="3"/>
      <c r="I232" t="str">
        <f>IF($B232="","",LOWER($B232)&amp;"|"&amp;TEXT(ROW(),"0000"))</f>
        <v/>
      </c>
      <c r="J232" t="str">
        <f>IF(I232="","",COUNTIF($I$2:$I$501,"&lt;="&amp;I232))</f>
        <v/>
      </c>
      <c r="K232" s="3"/>
    </row>
    <row r="233" spans="5:11" x14ac:dyDescent="0.35">
      <c r="E233" s="3"/>
      <c r="F233" s="3"/>
      <c r="H233" s="3"/>
      <c r="I233" t="str">
        <f>IF($B233="","",LOWER($B233)&amp;"|"&amp;TEXT(ROW(),"0000"))</f>
        <v/>
      </c>
      <c r="J233" t="str">
        <f>IF(I233="","",COUNTIF($I$2:$I$501,"&lt;="&amp;I233))</f>
        <v/>
      </c>
      <c r="K233" s="3"/>
    </row>
    <row r="234" spans="5:11" x14ac:dyDescent="0.35">
      <c r="E234" s="3"/>
      <c r="F234" s="3"/>
      <c r="H234" s="3"/>
      <c r="I234" t="str">
        <f>IF($B234="","",LOWER($B234)&amp;"|"&amp;TEXT(ROW(),"0000"))</f>
        <v/>
      </c>
      <c r="J234" t="str">
        <f>IF(I234="","",COUNTIF($I$2:$I$501,"&lt;="&amp;I234))</f>
        <v/>
      </c>
      <c r="K234" s="3"/>
    </row>
    <row r="235" spans="5:11" x14ac:dyDescent="0.35">
      <c r="E235" s="3"/>
      <c r="F235" s="3"/>
      <c r="H235" s="3"/>
      <c r="I235" t="str">
        <f>IF($B235="","",LOWER($B235)&amp;"|"&amp;TEXT(ROW(),"0000"))</f>
        <v/>
      </c>
      <c r="J235" t="str">
        <f>IF(I235="","",COUNTIF($I$2:$I$501,"&lt;="&amp;I235))</f>
        <v/>
      </c>
      <c r="K235" s="3"/>
    </row>
    <row r="236" spans="5:11" x14ac:dyDescent="0.35">
      <c r="E236" s="3"/>
      <c r="F236" s="3"/>
      <c r="H236" s="3"/>
      <c r="I236" t="str">
        <f>IF($B236="","",LOWER($B236)&amp;"|"&amp;TEXT(ROW(),"0000"))</f>
        <v/>
      </c>
      <c r="J236" t="str">
        <f>IF(I236="","",COUNTIF($I$2:$I$501,"&lt;="&amp;I236))</f>
        <v/>
      </c>
      <c r="K236" s="3"/>
    </row>
    <row r="237" spans="5:11" x14ac:dyDescent="0.35">
      <c r="E237" s="3"/>
      <c r="F237" s="3"/>
      <c r="H237" s="3"/>
      <c r="I237" t="str">
        <f>IF($B237="","",LOWER($B237)&amp;"|"&amp;TEXT(ROW(),"0000"))</f>
        <v/>
      </c>
      <c r="J237" t="str">
        <f>IF(I237="","",COUNTIF($I$2:$I$501,"&lt;="&amp;I237))</f>
        <v/>
      </c>
      <c r="K237" s="3"/>
    </row>
    <row r="238" spans="5:11" x14ac:dyDescent="0.35">
      <c r="E238" s="3"/>
      <c r="F238" s="3"/>
      <c r="H238" s="3"/>
      <c r="I238" t="str">
        <f>IF($B238="","",LOWER($B238)&amp;"|"&amp;TEXT(ROW(),"0000"))</f>
        <v/>
      </c>
      <c r="J238" t="str">
        <f>IF(I238="","",COUNTIF($I$2:$I$501,"&lt;="&amp;I238))</f>
        <v/>
      </c>
      <c r="K238" s="3"/>
    </row>
    <row r="239" spans="5:11" x14ac:dyDescent="0.35">
      <c r="E239" s="3"/>
      <c r="F239" s="3"/>
      <c r="H239" s="3"/>
      <c r="I239" t="str">
        <f>IF($B239="","",LOWER($B239)&amp;"|"&amp;TEXT(ROW(),"0000"))</f>
        <v/>
      </c>
      <c r="J239" t="str">
        <f>IF(I239="","",COUNTIF($I$2:$I$501,"&lt;="&amp;I239))</f>
        <v/>
      </c>
      <c r="K239" s="3"/>
    </row>
    <row r="240" spans="5:11" x14ac:dyDescent="0.35">
      <c r="E240" s="3"/>
      <c r="F240" s="3"/>
      <c r="H240" s="3"/>
      <c r="I240" t="str">
        <f>IF($B240="","",LOWER($B240)&amp;"|"&amp;TEXT(ROW(),"0000"))</f>
        <v/>
      </c>
      <c r="J240" t="str">
        <f>IF(I240="","",COUNTIF($I$2:$I$501,"&lt;="&amp;I240))</f>
        <v/>
      </c>
      <c r="K240" s="3"/>
    </row>
    <row r="241" spans="5:11" x14ac:dyDescent="0.35">
      <c r="E241" s="3"/>
      <c r="F241" s="3"/>
      <c r="H241" s="3"/>
      <c r="I241" t="str">
        <f>IF($B241="","",LOWER($B241)&amp;"|"&amp;TEXT(ROW(),"0000"))</f>
        <v/>
      </c>
      <c r="J241" t="str">
        <f>IF(I241="","",COUNTIF($I$2:$I$501,"&lt;="&amp;I241))</f>
        <v/>
      </c>
      <c r="K241" s="3"/>
    </row>
    <row r="242" spans="5:11" x14ac:dyDescent="0.35">
      <c r="E242" s="3"/>
      <c r="F242" s="3"/>
      <c r="H242" s="3"/>
      <c r="I242" t="str">
        <f>IF($B242="","",LOWER($B242)&amp;"|"&amp;TEXT(ROW(),"0000"))</f>
        <v/>
      </c>
      <c r="J242" t="str">
        <f>IF(I242="","",COUNTIF($I$2:$I$501,"&lt;="&amp;I242))</f>
        <v/>
      </c>
      <c r="K242" s="3"/>
    </row>
    <row r="243" spans="5:11" x14ac:dyDescent="0.35">
      <c r="E243" s="3"/>
      <c r="F243" s="3"/>
      <c r="H243" s="3"/>
      <c r="I243" t="str">
        <f>IF($B243="","",LOWER($B243)&amp;"|"&amp;TEXT(ROW(),"0000"))</f>
        <v/>
      </c>
      <c r="J243" t="str">
        <f>IF(I243="","",COUNTIF($I$2:$I$501,"&lt;="&amp;I243))</f>
        <v/>
      </c>
      <c r="K243" s="3"/>
    </row>
    <row r="244" spans="5:11" x14ac:dyDescent="0.35">
      <c r="E244" s="3"/>
      <c r="F244" s="3"/>
      <c r="H244" s="3"/>
      <c r="I244" t="str">
        <f>IF($B244="","",LOWER($B244)&amp;"|"&amp;TEXT(ROW(),"0000"))</f>
        <v/>
      </c>
      <c r="J244" t="str">
        <f>IF(I244="","",COUNTIF($I$2:$I$501,"&lt;="&amp;I244))</f>
        <v/>
      </c>
      <c r="K244" s="3"/>
    </row>
    <row r="245" spans="5:11" x14ac:dyDescent="0.35">
      <c r="E245" s="3"/>
      <c r="F245" s="3"/>
      <c r="H245" s="3"/>
      <c r="I245" t="str">
        <f>IF($B245="","",LOWER($B245)&amp;"|"&amp;TEXT(ROW(),"0000"))</f>
        <v/>
      </c>
      <c r="J245" t="str">
        <f>IF(I245="","",COUNTIF($I$2:$I$501,"&lt;="&amp;I245))</f>
        <v/>
      </c>
      <c r="K245" s="3"/>
    </row>
    <row r="246" spans="5:11" x14ac:dyDescent="0.35">
      <c r="E246" s="3"/>
      <c r="F246" s="3"/>
      <c r="H246" s="3"/>
      <c r="I246" t="str">
        <f>IF($B246="","",LOWER($B246)&amp;"|"&amp;TEXT(ROW(),"0000"))</f>
        <v/>
      </c>
      <c r="J246" t="str">
        <f>IF(I246="","",COUNTIF($I$2:$I$501,"&lt;="&amp;I246))</f>
        <v/>
      </c>
      <c r="K246" s="3"/>
    </row>
    <row r="247" spans="5:11" x14ac:dyDescent="0.35">
      <c r="E247" s="3"/>
      <c r="F247" s="3"/>
      <c r="H247" s="3"/>
      <c r="I247" t="str">
        <f>IF($B247="","",LOWER($B247)&amp;"|"&amp;TEXT(ROW(),"0000"))</f>
        <v/>
      </c>
      <c r="J247" t="str">
        <f>IF(I247="","",COUNTIF($I$2:$I$501,"&lt;="&amp;I247))</f>
        <v/>
      </c>
      <c r="K247" s="3"/>
    </row>
    <row r="248" spans="5:11" x14ac:dyDescent="0.35">
      <c r="E248" s="3"/>
      <c r="F248" s="3"/>
      <c r="H248" s="3"/>
      <c r="I248" t="str">
        <f>IF($B248="","",LOWER($B248)&amp;"|"&amp;TEXT(ROW(),"0000"))</f>
        <v/>
      </c>
      <c r="J248" t="str">
        <f>IF(I248="","",COUNTIF($I$2:$I$501,"&lt;="&amp;I248))</f>
        <v/>
      </c>
      <c r="K248" s="3"/>
    </row>
    <row r="249" spans="5:11" x14ac:dyDescent="0.35">
      <c r="E249" s="3"/>
      <c r="F249" s="3"/>
      <c r="H249" s="3"/>
      <c r="I249" t="str">
        <f>IF($B249="","",LOWER($B249)&amp;"|"&amp;TEXT(ROW(),"0000"))</f>
        <v/>
      </c>
      <c r="J249" t="str">
        <f>IF(I249="","",COUNTIF($I$2:$I$501,"&lt;="&amp;I249))</f>
        <v/>
      </c>
      <c r="K249" s="3"/>
    </row>
    <row r="250" spans="5:11" x14ac:dyDescent="0.35">
      <c r="E250" s="3"/>
      <c r="F250" s="3"/>
      <c r="H250" s="3"/>
      <c r="I250" t="str">
        <f>IF($B250="","",LOWER($B250)&amp;"|"&amp;TEXT(ROW(),"0000"))</f>
        <v/>
      </c>
      <c r="J250" t="str">
        <f>IF(I250="","",COUNTIF($I$2:$I$501,"&lt;="&amp;I250))</f>
        <v/>
      </c>
      <c r="K250" s="3"/>
    </row>
    <row r="251" spans="5:11" x14ac:dyDescent="0.35">
      <c r="E251" s="3"/>
      <c r="F251" s="3"/>
      <c r="H251" s="3"/>
      <c r="I251" t="str">
        <f>IF($B251="","",LOWER($B251)&amp;"|"&amp;TEXT(ROW(),"0000"))</f>
        <v/>
      </c>
      <c r="J251" t="str">
        <f>IF(I251="","",COUNTIF($I$2:$I$501,"&lt;="&amp;I251))</f>
        <v/>
      </c>
      <c r="K251" s="3"/>
    </row>
    <row r="252" spans="5:11" x14ac:dyDescent="0.35">
      <c r="E252" s="3"/>
      <c r="F252" s="3"/>
      <c r="H252" s="3"/>
      <c r="I252" t="str">
        <f>IF($B252="","",LOWER($B252)&amp;"|"&amp;TEXT(ROW(),"0000"))</f>
        <v/>
      </c>
      <c r="J252" t="str">
        <f>IF(I252="","",COUNTIF($I$2:$I$501,"&lt;="&amp;I252))</f>
        <v/>
      </c>
      <c r="K252" s="3"/>
    </row>
    <row r="253" spans="5:11" x14ac:dyDescent="0.35">
      <c r="E253" s="3"/>
      <c r="F253" s="3"/>
      <c r="H253" s="3"/>
      <c r="I253" t="str">
        <f>IF($B253="","",LOWER($B253)&amp;"|"&amp;TEXT(ROW(),"0000"))</f>
        <v/>
      </c>
      <c r="J253" t="str">
        <f>IF(I253="","",COUNTIF($I$2:$I$501,"&lt;="&amp;I253))</f>
        <v/>
      </c>
      <c r="K253" s="3"/>
    </row>
    <row r="254" spans="5:11" x14ac:dyDescent="0.35">
      <c r="E254" s="3"/>
      <c r="F254" s="3"/>
      <c r="H254" s="3"/>
      <c r="I254" t="str">
        <f>IF($B254="","",LOWER($B254)&amp;"|"&amp;TEXT(ROW(),"0000"))</f>
        <v/>
      </c>
      <c r="J254" t="str">
        <f>IF(I254="","",COUNTIF($I$2:$I$501,"&lt;="&amp;I254))</f>
        <v/>
      </c>
      <c r="K254" s="3"/>
    </row>
    <row r="255" spans="5:11" x14ac:dyDescent="0.35">
      <c r="E255" s="3"/>
      <c r="F255" s="3"/>
      <c r="H255" s="3"/>
      <c r="I255" t="str">
        <f>IF($B255="","",LOWER($B255)&amp;"|"&amp;TEXT(ROW(),"0000"))</f>
        <v/>
      </c>
      <c r="J255" t="str">
        <f>IF(I255="","",COUNTIF($I$2:$I$501,"&lt;="&amp;I255))</f>
        <v/>
      </c>
      <c r="K255" s="3"/>
    </row>
    <row r="256" spans="5:11" x14ac:dyDescent="0.35">
      <c r="E256" s="3"/>
      <c r="F256" s="3"/>
      <c r="H256" s="3"/>
      <c r="I256" t="str">
        <f>IF($B256="","",LOWER($B256)&amp;"|"&amp;TEXT(ROW(),"0000"))</f>
        <v/>
      </c>
      <c r="J256" t="str">
        <f>IF(I256="","",COUNTIF($I$2:$I$501,"&lt;="&amp;I256))</f>
        <v/>
      </c>
      <c r="K256" s="3"/>
    </row>
    <row r="257" spans="5:11" x14ac:dyDescent="0.35">
      <c r="E257" s="3"/>
      <c r="F257" s="3"/>
      <c r="H257" s="3"/>
      <c r="I257" t="str">
        <f>IF($B257="","",LOWER($B257)&amp;"|"&amp;TEXT(ROW(),"0000"))</f>
        <v/>
      </c>
      <c r="J257" t="str">
        <f>IF(I257="","",COUNTIF($I$2:$I$501,"&lt;="&amp;I257))</f>
        <v/>
      </c>
      <c r="K257" s="3"/>
    </row>
    <row r="258" spans="5:11" x14ac:dyDescent="0.35">
      <c r="E258" s="3"/>
      <c r="F258" s="3"/>
      <c r="H258" s="3"/>
      <c r="I258" t="str">
        <f>IF($B258="","",LOWER($B258)&amp;"|"&amp;TEXT(ROW(),"0000"))</f>
        <v/>
      </c>
      <c r="J258" t="str">
        <f>IF(I258="","",COUNTIF($I$2:$I$501,"&lt;="&amp;I258))</f>
        <v/>
      </c>
      <c r="K258" s="3"/>
    </row>
    <row r="259" spans="5:11" x14ac:dyDescent="0.35">
      <c r="E259" s="3"/>
      <c r="F259" s="3"/>
      <c r="H259" s="3"/>
      <c r="I259" t="str">
        <f>IF($B259="","",LOWER($B259)&amp;"|"&amp;TEXT(ROW(),"0000"))</f>
        <v/>
      </c>
      <c r="J259" t="str">
        <f>IF(I259="","",COUNTIF($I$2:$I$501,"&lt;="&amp;I259))</f>
        <v/>
      </c>
      <c r="K259" s="3"/>
    </row>
    <row r="260" spans="5:11" x14ac:dyDescent="0.35">
      <c r="E260" s="3"/>
      <c r="F260" s="3"/>
      <c r="H260" s="3"/>
      <c r="I260" t="str">
        <f>IF($B260="","",LOWER($B260)&amp;"|"&amp;TEXT(ROW(),"0000"))</f>
        <v/>
      </c>
      <c r="J260" t="str">
        <f>IF(I260="","",COUNTIF($I$2:$I$501,"&lt;="&amp;I260))</f>
        <v/>
      </c>
      <c r="K260" s="3"/>
    </row>
    <row r="261" spans="5:11" x14ac:dyDescent="0.35">
      <c r="E261" s="3"/>
      <c r="F261" s="3"/>
      <c r="H261" s="3"/>
      <c r="I261" t="str">
        <f>IF($B261="","",LOWER($B261)&amp;"|"&amp;TEXT(ROW(),"0000"))</f>
        <v/>
      </c>
      <c r="J261" t="str">
        <f>IF(I261="","",COUNTIF($I$2:$I$501,"&lt;="&amp;I261))</f>
        <v/>
      </c>
      <c r="K261" s="3"/>
    </row>
    <row r="262" spans="5:11" x14ac:dyDescent="0.35">
      <c r="E262" s="3"/>
      <c r="F262" s="3"/>
      <c r="H262" s="3"/>
      <c r="I262" t="str">
        <f>IF($B262="","",LOWER($B262)&amp;"|"&amp;TEXT(ROW(),"0000"))</f>
        <v/>
      </c>
      <c r="J262" t="str">
        <f>IF(I262="","",COUNTIF($I$2:$I$501,"&lt;="&amp;I262))</f>
        <v/>
      </c>
      <c r="K262" s="3"/>
    </row>
    <row r="263" spans="5:11" x14ac:dyDescent="0.35">
      <c r="E263" s="3"/>
      <c r="F263" s="3"/>
      <c r="H263" s="3"/>
      <c r="I263" t="str">
        <f>IF($B263="","",LOWER($B263)&amp;"|"&amp;TEXT(ROW(),"0000"))</f>
        <v/>
      </c>
      <c r="J263" t="str">
        <f>IF(I263="","",COUNTIF($I$2:$I$501,"&lt;="&amp;I263))</f>
        <v/>
      </c>
      <c r="K263" s="3"/>
    </row>
    <row r="264" spans="5:11" x14ac:dyDescent="0.35">
      <c r="E264" s="3"/>
      <c r="F264" s="3"/>
      <c r="H264" s="3"/>
      <c r="I264" t="str">
        <f>IF($B264="","",LOWER($B264)&amp;"|"&amp;TEXT(ROW(),"0000"))</f>
        <v/>
      </c>
      <c r="J264" t="str">
        <f>IF(I264="","",COUNTIF($I$2:$I$501,"&lt;="&amp;I264))</f>
        <v/>
      </c>
      <c r="K264" s="3"/>
    </row>
    <row r="265" spans="5:11" x14ac:dyDescent="0.35">
      <c r="E265" s="3"/>
      <c r="F265" s="3"/>
      <c r="H265" s="3"/>
      <c r="I265" t="str">
        <f>IF($B265="","",LOWER($B265)&amp;"|"&amp;TEXT(ROW(),"0000"))</f>
        <v/>
      </c>
      <c r="J265" t="str">
        <f>IF(I265="","",COUNTIF($I$2:$I$501,"&lt;="&amp;I265))</f>
        <v/>
      </c>
      <c r="K265" s="3"/>
    </row>
    <row r="266" spans="5:11" x14ac:dyDescent="0.35">
      <c r="E266" s="3"/>
      <c r="F266" s="3"/>
      <c r="H266" s="3"/>
      <c r="I266" t="str">
        <f>IF($B266="","",LOWER($B266)&amp;"|"&amp;TEXT(ROW(),"0000"))</f>
        <v/>
      </c>
      <c r="J266" t="str">
        <f>IF(I266="","",COUNTIF($I$2:$I$501,"&lt;="&amp;I266))</f>
        <v/>
      </c>
      <c r="K266" s="3"/>
    </row>
    <row r="267" spans="5:11" x14ac:dyDescent="0.35">
      <c r="E267" s="3"/>
      <c r="F267" s="3"/>
      <c r="H267" s="3"/>
      <c r="I267" t="str">
        <f>IF($B267="","",LOWER($B267)&amp;"|"&amp;TEXT(ROW(),"0000"))</f>
        <v/>
      </c>
      <c r="J267" t="str">
        <f>IF(I267="","",COUNTIF($I$2:$I$501,"&lt;="&amp;I267))</f>
        <v/>
      </c>
      <c r="K267" s="3"/>
    </row>
    <row r="268" spans="5:11" x14ac:dyDescent="0.35">
      <c r="E268" s="3"/>
      <c r="F268" s="3"/>
      <c r="H268" s="3"/>
      <c r="I268" t="str">
        <f>IF($B268="","",LOWER($B268)&amp;"|"&amp;TEXT(ROW(),"0000"))</f>
        <v/>
      </c>
      <c r="J268" t="str">
        <f>IF(I268="","",COUNTIF($I$2:$I$501,"&lt;="&amp;I268))</f>
        <v/>
      </c>
      <c r="K268" s="3"/>
    </row>
    <row r="269" spans="5:11" x14ac:dyDescent="0.35">
      <c r="E269" s="3"/>
      <c r="F269" s="3"/>
      <c r="H269" s="3"/>
      <c r="I269" t="str">
        <f>IF($B269="","",LOWER($B269)&amp;"|"&amp;TEXT(ROW(),"0000"))</f>
        <v/>
      </c>
      <c r="J269" t="str">
        <f>IF(I269="","",COUNTIF($I$2:$I$501,"&lt;="&amp;I269))</f>
        <v/>
      </c>
      <c r="K269" s="3"/>
    </row>
    <row r="270" spans="5:11" x14ac:dyDescent="0.35">
      <c r="E270" s="3"/>
      <c r="F270" s="3"/>
      <c r="H270" s="3"/>
      <c r="I270" t="str">
        <f>IF($B270="","",LOWER($B270)&amp;"|"&amp;TEXT(ROW(),"0000"))</f>
        <v/>
      </c>
      <c r="J270" t="str">
        <f>IF(I270="","",COUNTIF($I$2:$I$501,"&lt;="&amp;I270))</f>
        <v/>
      </c>
      <c r="K270" s="3"/>
    </row>
    <row r="271" spans="5:11" x14ac:dyDescent="0.35">
      <c r="E271" s="3"/>
      <c r="F271" s="3"/>
      <c r="H271" s="3"/>
      <c r="I271" t="str">
        <f>IF($B271="","",LOWER($B271)&amp;"|"&amp;TEXT(ROW(),"0000"))</f>
        <v/>
      </c>
      <c r="J271" t="str">
        <f>IF(I271="","",COUNTIF($I$2:$I$501,"&lt;="&amp;I271))</f>
        <v/>
      </c>
      <c r="K271" s="3"/>
    </row>
    <row r="272" spans="5:11" x14ac:dyDescent="0.35">
      <c r="E272" s="3"/>
      <c r="F272" s="3"/>
      <c r="H272" s="3"/>
      <c r="I272" t="str">
        <f>IF($B272="","",LOWER($B272)&amp;"|"&amp;TEXT(ROW(),"0000"))</f>
        <v/>
      </c>
      <c r="J272" t="str">
        <f>IF(I272="","",COUNTIF($I$2:$I$501,"&lt;="&amp;I272))</f>
        <v/>
      </c>
      <c r="K272" s="3"/>
    </row>
    <row r="273" spans="5:11" x14ac:dyDescent="0.35">
      <c r="E273" s="3"/>
      <c r="F273" s="3"/>
      <c r="H273" s="3"/>
      <c r="I273" t="str">
        <f>IF($B273="","",LOWER($B273)&amp;"|"&amp;TEXT(ROW(),"0000"))</f>
        <v/>
      </c>
      <c r="J273" t="str">
        <f>IF(I273="","",COUNTIF($I$2:$I$501,"&lt;="&amp;I273))</f>
        <v/>
      </c>
      <c r="K273" s="3"/>
    </row>
    <row r="274" spans="5:11" x14ac:dyDescent="0.35">
      <c r="E274" s="3"/>
      <c r="F274" s="3"/>
      <c r="H274" s="3"/>
      <c r="I274" t="str">
        <f>IF($B274="","",LOWER($B274)&amp;"|"&amp;TEXT(ROW(),"0000"))</f>
        <v/>
      </c>
      <c r="J274" t="str">
        <f>IF(I274="","",COUNTIF($I$2:$I$501,"&lt;="&amp;I274))</f>
        <v/>
      </c>
      <c r="K274" s="3"/>
    </row>
    <row r="275" spans="5:11" x14ac:dyDescent="0.35">
      <c r="E275" s="3"/>
      <c r="F275" s="3"/>
      <c r="H275" s="3"/>
      <c r="I275" t="str">
        <f>IF($B275="","",LOWER($B275)&amp;"|"&amp;TEXT(ROW(),"0000"))</f>
        <v/>
      </c>
      <c r="J275" t="str">
        <f>IF(I275="","",COUNTIF($I$2:$I$501,"&lt;="&amp;I275))</f>
        <v/>
      </c>
      <c r="K275" s="3"/>
    </row>
    <row r="276" spans="5:11" x14ac:dyDescent="0.35">
      <c r="E276" s="3"/>
      <c r="F276" s="3"/>
      <c r="H276" s="3"/>
      <c r="I276" t="str">
        <f>IF($B276="","",LOWER($B276)&amp;"|"&amp;TEXT(ROW(),"0000"))</f>
        <v/>
      </c>
      <c r="J276" t="str">
        <f>IF(I276="","",COUNTIF($I$2:$I$501,"&lt;="&amp;I276))</f>
        <v/>
      </c>
      <c r="K276" s="3"/>
    </row>
    <row r="277" spans="5:11" x14ac:dyDescent="0.35">
      <c r="E277" s="3"/>
      <c r="F277" s="3"/>
      <c r="H277" s="3"/>
      <c r="I277" t="str">
        <f>IF($B277="","",LOWER($B277)&amp;"|"&amp;TEXT(ROW(),"0000"))</f>
        <v/>
      </c>
      <c r="J277" t="str">
        <f>IF(I277="","",COUNTIF($I$2:$I$501,"&lt;="&amp;I277))</f>
        <v/>
      </c>
      <c r="K277" s="3"/>
    </row>
    <row r="278" spans="5:11" x14ac:dyDescent="0.35">
      <c r="E278" s="3"/>
      <c r="F278" s="3"/>
      <c r="H278" s="3"/>
      <c r="I278" t="str">
        <f>IF($B278="","",LOWER($B278)&amp;"|"&amp;TEXT(ROW(),"0000"))</f>
        <v/>
      </c>
      <c r="J278" t="str">
        <f>IF(I278="","",COUNTIF($I$2:$I$501,"&lt;="&amp;I278))</f>
        <v/>
      </c>
      <c r="K278" s="3"/>
    </row>
    <row r="279" spans="5:11" x14ac:dyDescent="0.35">
      <c r="E279" s="3"/>
      <c r="F279" s="3"/>
      <c r="H279" s="3"/>
      <c r="I279" t="str">
        <f>IF($B279="","",LOWER($B279)&amp;"|"&amp;TEXT(ROW(),"0000"))</f>
        <v/>
      </c>
      <c r="J279" t="str">
        <f>IF(I279="","",COUNTIF($I$2:$I$501,"&lt;="&amp;I279))</f>
        <v/>
      </c>
      <c r="K279" s="3"/>
    </row>
    <row r="280" spans="5:11" x14ac:dyDescent="0.35">
      <c r="E280" s="3"/>
      <c r="F280" s="3"/>
      <c r="H280" s="3"/>
      <c r="I280" t="str">
        <f>IF($B280="","",LOWER($B280)&amp;"|"&amp;TEXT(ROW(),"0000"))</f>
        <v/>
      </c>
      <c r="J280" t="str">
        <f>IF(I280="","",COUNTIF($I$2:$I$501,"&lt;="&amp;I280))</f>
        <v/>
      </c>
      <c r="K280" s="3"/>
    </row>
    <row r="281" spans="5:11" x14ac:dyDescent="0.35">
      <c r="E281" s="3"/>
      <c r="F281" s="3"/>
      <c r="H281" s="3"/>
      <c r="I281" t="str">
        <f>IF($B281="","",LOWER($B281)&amp;"|"&amp;TEXT(ROW(),"0000"))</f>
        <v/>
      </c>
      <c r="J281" t="str">
        <f>IF(I281="","",COUNTIF($I$2:$I$501,"&lt;="&amp;I281))</f>
        <v/>
      </c>
      <c r="K281" s="3"/>
    </row>
    <row r="282" spans="5:11" x14ac:dyDescent="0.35">
      <c r="E282" s="3"/>
      <c r="F282" s="3"/>
      <c r="H282" s="3"/>
      <c r="I282" t="str">
        <f>IF($B282="","",LOWER($B282)&amp;"|"&amp;TEXT(ROW(),"0000"))</f>
        <v/>
      </c>
      <c r="J282" t="str">
        <f>IF(I282="","",COUNTIF($I$2:$I$501,"&lt;="&amp;I282))</f>
        <v/>
      </c>
      <c r="K282" s="3"/>
    </row>
    <row r="283" spans="5:11" x14ac:dyDescent="0.35">
      <c r="E283" s="3"/>
      <c r="F283" s="3"/>
      <c r="H283" s="3"/>
      <c r="I283" t="str">
        <f>IF($B283="","",LOWER($B283)&amp;"|"&amp;TEXT(ROW(),"0000"))</f>
        <v/>
      </c>
      <c r="J283" t="str">
        <f>IF(I283="","",COUNTIF($I$2:$I$501,"&lt;="&amp;I283))</f>
        <v/>
      </c>
      <c r="K283" s="3"/>
    </row>
    <row r="284" spans="5:11" x14ac:dyDescent="0.35">
      <c r="E284" s="3"/>
      <c r="F284" s="3"/>
      <c r="H284" s="3"/>
      <c r="I284" t="str">
        <f>IF($B284="","",LOWER($B284)&amp;"|"&amp;TEXT(ROW(),"0000"))</f>
        <v/>
      </c>
      <c r="J284" t="str">
        <f>IF(I284="","",COUNTIF($I$2:$I$501,"&lt;="&amp;I284))</f>
        <v/>
      </c>
      <c r="K284" s="3"/>
    </row>
    <row r="285" spans="5:11" x14ac:dyDescent="0.35">
      <c r="E285" s="3"/>
      <c r="F285" s="3"/>
      <c r="H285" s="3"/>
      <c r="I285" t="str">
        <f>IF($B285="","",LOWER($B285)&amp;"|"&amp;TEXT(ROW(),"0000"))</f>
        <v/>
      </c>
      <c r="J285" t="str">
        <f>IF(I285="","",COUNTIF($I$2:$I$501,"&lt;="&amp;I285))</f>
        <v/>
      </c>
      <c r="K285" s="3"/>
    </row>
    <row r="286" spans="5:11" x14ac:dyDescent="0.35">
      <c r="E286" s="3"/>
      <c r="F286" s="3"/>
      <c r="H286" s="3"/>
      <c r="I286" t="str">
        <f>IF($B286="","",LOWER($B286)&amp;"|"&amp;TEXT(ROW(),"0000"))</f>
        <v/>
      </c>
      <c r="J286" t="str">
        <f>IF(I286="","",COUNTIF($I$2:$I$501,"&lt;="&amp;I286))</f>
        <v/>
      </c>
      <c r="K286" s="3"/>
    </row>
    <row r="287" spans="5:11" x14ac:dyDescent="0.35">
      <c r="E287" s="3"/>
      <c r="F287" s="3"/>
      <c r="H287" s="3"/>
      <c r="I287" t="str">
        <f>IF($B287="","",LOWER($B287)&amp;"|"&amp;TEXT(ROW(),"0000"))</f>
        <v/>
      </c>
      <c r="J287" t="str">
        <f>IF(I287="","",COUNTIF($I$2:$I$501,"&lt;="&amp;I287))</f>
        <v/>
      </c>
      <c r="K287" s="3"/>
    </row>
    <row r="288" spans="5:11" x14ac:dyDescent="0.35">
      <c r="E288" s="3"/>
      <c r="F288" s="3"/>
      <c r="H288" s="3"/>
      <c r="I288" t="str">
        <f>IF($B288="","",LOWER($B288)&amp;"|"&amp;TEXT(ROW(),"0000"))</f>
        <v/>
      </c>
      <c r="J288" t="str">
        <f>IF(I288="","",COUNTIF($I$2:$I$501,"&lt;="&amp;I288))</f>
        <v/>
      </c>
      <c r="K288" s="3"/>
    </row>
    <row r="289" spans="5:11" x14ac:dyDescent="0.35">
      <c r="E289" s="3"/>
      <c r="F289" s="3"/>
      <c r="H289" s="3"/>
      <c r="I289" t="str">
        <f>IF($B289="","",LOWER($B289)&amp;"|"&amp;TEXT(ROW(),"0000"))</f>
        <v/>
      </c>
      <c r="J289" t="str">
        <f>IF(I289="","",COUNTIF($I$2:$I$501,"&lt;="&amp;I289))</f>
        <v/>
      </c>
      <c r="K289" s="3"/>
    </row>
    <row r="290" spans="5:11" x14ac:dyDescent="0.35">
      <c r="E290" s="3"/>
      <c r="F290" s="3"/>
      <c r="H290" s="3"/>
      <c r="I290" t="str">
        <f>IF($B290="","",LOWER($B290)&amp;"|"&amp;TEXT(ROW(),"0000"))</f>
        <v/>
      </c>
      <c r="J290" t="str">
        <f>IF(I290="","",COUNTIF($I$2:$I$501,"&lt;="&amp;I290))</f>
        <v/>
      </c>
      <c r="K290" s="3"/>
    </row>
    <row r="291" spans="5:11" x14ac:dyDescent="0.35">
      <c r="E291" s="3"/>
      <c r="F291" s="3"/>
      <c r="H291" s="3"/>
      <c r="I291" t="str">
        <f>IF($B291="","",LOWER($B291)&amp;"|"&amp;TEXT(ROW(),"0000"))</f>
        <v/>
      </c>
      <c r="J291" t="str">
        <f>IF(I291="","",COUNTIF($I$2:$I$501,"&lt;="&amp;I291))</f>
        <v/>
      </c>
      <c r="K291" s="3"/>
    </row>
    <row r="292" spans="5:11" x14ac:dyDescent="0.35">
      <c r="E292" s="3"/>
      <c r="F292" s="3"/>
      <c r="H292" s="3"/>
      <c r="I292" t="str">
        <f>IF($B292="","",LOWER($B292)&amp;"|"&amp;TEXT(ROW(),"0000"))</f>
        <v/>
      </c>
      <c r="J292" t="str">
        <f>IF(I292="","",COUNTIF($I$2:$I$501,"&lt;="&amp;I292))</f>
        <v/>
      </c>
      <c r="K292" s="3"/>
    </row>
    <row r="293" spans="5:11" x14ac:dyDescent="0.35">
      <c r="E293" s="3"/>
      <c r="F293" s="3"/>
      <c r="H293" s="3"/>
      <c r="I293" t="str">
        <f>IF($B293="","",LOWER($B293)&amp;"|"&amp;TEXT(ROW(),"0000"))</f>
        <v/>
      </c>
      <c r="J293" t="str">
        <f>IF(I293="","",COUNTIF($I$2:$I$501,"&lt;="&amp;I293))</f>
        <v/>
      </c>
      <c r="K293" s="3"/>
    </row>
    <row r="294" spans="5:11" x14ac:dyDescent="0.35">
      <c r="E294" s="3"/>
      <c r="F294" s="3"/>
      <c r="H294" s="3"/>
      <c r="I294" t="str">
        <f>IF($B294="","",LOWER($B294)&amp;"|"&amp;TEXT(ROW(),"0000"))</f>
        <v/>
      </c>
      <c r="J294" t="str">
        <f>IF(I294="","",COUNTIF($I$2:$I$501,"&lt;="&amp;I294))</f>
        <v/>
      </c>
      <c r="K294" s="3"/>
    </row>
    <row r="295" spans="5:11" x14ac:dyDescent="0.35">
      <c r="E295" s="3"/>
      <c r="F295" s="3"/>
      <c r="H295" s="3"/>
      <c r="I295" t="str">
        <f>IF($B295="","",LOWER($B295)&amp;"|"&amp;TEXT(ROW(),"0000"))</f>
        <v/>
      </c>
      <c r="J295" t="str">
        <f>IF(I295="","",COUNTIF($I$2:$I$501,"&lt;="&amp;I295))</f>
        <v/>
      </c>
      <c r="K295" s="3"/>
    </row>
    <row r="296" spans="5:11" x14ac:dyDescent="0.35">
      <c r="E296" s="3"/>
      <c r="F296" s="3"/>
      <c r="H296" s="3"/>
      <c r="I296" t="str">
        <f>IF($B296="","",LOWER($B296)&amp;"|"&amp;TEXT(ROW(),"0000"))</f>
        <v/>
      </c>
      <c r="J296" t="str">
        <f>IF(I296="","",COUNTIF($I$2:$I$501,"&lt;="&amp;I296))</f>
        <v/>
      </c>
      <c r="K296" s="3"/>
    </row>
    <row r="297" spans="5:11" x14ac:dyDescent="0.35">
      <c r="E297" s="3"/>
      <c r="F297" s="3"/>
      <c r="H297" s="3"/>
      <c r="I297" t="str">
        <f>IF($B297="","",LOWER($B297)&amp;"|"&amp;TEXT(ROW(),"0000"))</f>
        <v/>
      </c>
      <c r="J297" t="str">
        <f>IF(I297="","",COUNTIF($I$2:$I$501,"&lt;="&amp;I297))</f>
        <v/>
      </c>
      <c r="K297" s="3"/>
    </row>
    <row r="298" spans="5:11" x14ac:dyDescent="0.35">
      <c r="E298" s="3"/>
      <c r="F298" s="3"/>
      <c r="H298" s="3"/>
      <c r="I298" t="str">
        <f>IF($B298="","",LOWER($B298)&amp;"|"&amp;TEXT(ROW(),"0000"))</f>
        <v/>
      </c>
      <c r="J298" t="str">
        <f>IF(I298="","",COUNTIF($I$2:$I$501,"&lt;="&amp;I298))</f>
        <v/>
      </c>
      <c r="K298" s="3"/>
    </row>
    <row r="299" spans="5:11" x14ac:dyDescent="0.35">
      <c r="E299" s="3"/>
      <c r="F299" s="3"/>
      <c r="H299" s="3"/>
      <c r="I299" t="str">
        <f>IF($B299="","",LOWER($B299)&amp;"|"&amp;TEXT(ROW(),"0000"))</f>
        <v/>
      </c>
      <c r="J299" t="str">
        <f>IF(I299="","",COUNTIF($I$2:$I$501,"&lt;="&amp;I299))</f>
        <v/>
      </c>
      <c r="K299" s="3"/>
    </row>
    <row r="300" spans="5:11" x14ac:dyDescent="0.35">
      <c r="E300" s="3"/>
      <c r="F300" s="3"/>
      <c r="H300" s="3"/>
      <c r="I300" t="str">
        <f>IF($B300="","",LOWER($B300)&amp;"|"&amp;TEXT(ROW(),"0000"))</f>
        <v/>
      </c>
      <c r="J300" t="str">
        <f>IF(I300="","",COUNTIF($I$2:$I$501,"&lt;="&amp;I300))</f>
        <v/>
      </c>
      <c r="K300" s="3"/>
    </row>
    <row r="301" spans="5:11" x14ac:dyDescent="0.35">
      <c r="E301" s="3"/>
      <c r="F301" s="3"/>
      <c r="H301" s="3"/>
      <c r="I301" t="str">
        <f>IF($B301="","",LOWER($B301)&amp;"|"&amp;TEXT(ROW(),"0000"))</f>
        <v/>
      </c>
      <c r="J301" t="str">
        <f>IF(I301="","",COUNTIF($I$2:$I$501,"&lt;="&amp;I301))</f>
        <v/>
      </c>
      <c r="K301" s="3"/>
    </row>
    <row r="302" spans="5:11" x14ac:dyDescent="0.35">
      <c r="E302" s="3"/>
      <c r="F302" s="3"/>
      <c r="H302" s="3"/>
      <c r="I302" t="str">
        <f>IF($B302="","",LOWER($B302)&amp;"|"&amp;TEXT(ROW(),"0000"))</f>
        <v/>
      </c>
      <c r="J302" t="str">
        <f>IF(I302="","",COUNTIF($I$2:$I$501,"&lt;="&amp;I302))</f>
        <v/>
      </c>
      <c r="K302" s="3"/>
    </row>
    <row r="303" spans="5:11" x14ac:dyDescent="0.35">
      <c r="E303" s="3"/>
      <c r="F303" s="3"/>
      <c r="H303" s="3"/>
      <c r="I303" t="str">
        <f>IF($B303="","",LOWER($B303)&amp;"|"&amp;TEXT(ROW(),"0000"))</f>
        <v/>
      </c>
      <c r="J303" t="str">
        <f>IF(I303="","",COUNTIF($I$2:$I$501,"&lt;="&amp;I303))</f>
        <v/>
      </c>
      <c r="K303" s="3"/>
    </row>
    <row r="304" spans="5:11" x14ac:dyDescent="0.35">
      <c r="E304" s="3"/>
      <c r="F304" s="3"/>
      <c r="H304" s="3"/>
      <c r="I304" t="str">
        <f>IF($B304="","",LOWER($B304)&amp;"|"&amp;TEXT(ROW(),"0000"))</f>
        <v/>
      </c>
      <c r="J304" t="str">
        <f>IF(I304="","",COUNTIF($I$2:$I$501,"&lt;="&amp;I304))</f>
        <v/>
      </c>
      <c r="K304" s="3"/>
    </row>
    <row r="305" spans="5:11" x14ac:dyDescent="0.35">
      <c r="E305" s="3"/>
      <c r="F305" s="3"/>
      <c r="H305" s="3"/>
      <c r="I305" t="str">
        <f>IF($B305="","",LOWER($B305)&amp;"|"&amp;TEXT(ROW(),"0000"))</f>
        <v/>
      </c>
      <c r="J305" t="str">
        <f>IF(I305="","",COUNTIF($I$2:$I$501,"&lt;="&amp;I305))</f>
        <v/>
      </c>
      <c r="K305" s="3"/>
    </row>
    <row r="306" spans="5:11" x14ac:dyDescent="0.35">
      <c r="E306" s="3"/>
      <c r="F306" s="3"/>
      <c r="H306" s="3"/>
      <c r="I306" t="str">
        <f>IF($B306="","",LOWER($B306)&amp;"|"&amp;TEXT(ROW(),"0000"))</f>
        <v/>
      </c>
      <c r="J306" t="str">
        <f>IF(I306="","",COUNTIF($I$2:$I$501,"&lt;="&amp;I306))</f>
        <v/>
      </c>
      <c r="K306" s="3"/>
    </row>
    <row r="307" spans="5:11" x14ac:dyDescent="0.35">
      <c r="E307" s="3"/>
      <c r="F307" s="3"/>
      <c r="H307" s="3"/>
      <c r="I307" t="str">
        <f>IF($B307="","",LOWER($B307)&amp;"|"&amp;TEXT(ROW(),"0000"))</f>
        <v/>
      </c>
      <c r="J307" t="str">
        <f>IF(I307="","",COUNTIF($I$2:$I$501,"&lt;="&amp;I307))</f>
        <v/>
      </c>
      <c r="K307" s="3"/>
    </row>
    <row r="308" spans="5:11" x14ac:dyDescent="0.35">
      <c r="E308" s="3"/>
      <c r="F308" s="3"/>
      <c r="H308" s="3"/>
      <c r="I308" t="str">
        <f>IF($B308="","",LOWER($B308)&amp;"|"&amp;TEXT(ROW(),"0000"))</f>
        <v/>
      </c>
      <c r="J308" t="str">
        <f>IF(I308="","",COUNTIF($I$2:$I$501,"&lt;="&amp;I308))</f>
        <v/>
      </c>
      <c r="K308" s="3"/>
    </row>
    <row r="309" spans="5:11" x14ac:dyDescent="0.35">
      <c r="E309" s="3"/>
      <c r="F309" s="3"/>
      <c r="H309" s="3"/>
      <c r="I309" t="str">
        <f>IF($B309="","",LOWER($B309)&amp;"|"&amp;TEXT(ROW(),"0000"))</f>
        <v/>
      </c>
      <c r="J309" t="str">
        <f>IF(I309="","",COUNTIF($I$2:$I$501,"&lt;="&amp;I309))</f>
        <v/>
      </c>
      <c r="K309" s="3"/>
    </row>
    <row r="310" spans="5:11" x14ac:dyDescent="0.35">
      <c r="E310" s="3"/>
      <c r="F310" s="3"/>
      <c r="H310" s="3"/>
      <c r="I310" t="str">
        <f>IF($B310="","",LOWER($B310)&amp;"|"&amp;TEXT(ROW(),"0000"))</f>
        <v/>
      </c>
      <c r="J310" t="str">
        <f>IF(I310="","",COUNTIF($I$2:$I$501,"&lt;="&amp;I310))</f>
        <v/>
      </c>
      <c r="K310" s="3"/>
    </row>
    <row r="311" spans="5:11" x14ac:dyDescent="0.35">
      <c r="E311" s="3"/>
      <c r="F311" s="3"/>
      <c r="H311" s="3"/>
      <c r="I311" t="str">
        <f>IF($B311="","",LOWER($B311)&amp;"|"&amp;TEXT(ROW(),"0000"))</f>
        <v/>
      </c>
      <c r="J311" t="str">
        <f>IF(I311="","",COUNTIF($I$2:$I$501,"&lt;="&amp;I311))</f>
        <v/>
      </c>
      <c r="K311" s="3"/>
    </row>
    <row r="312" spans="5:11" x14ac:dyDescent="0.35">
      <c r="E312" s="3"/>
      <c r="F312" s="3"/>
      <c r="H312" s="3"/>
      <c r="I312" t="str">
        <f>IF($B312="","",LOWER($B312)&amp;"|"&amp;TEXT(ROW(),"0000"))</f>
        <v/>
      </c>
      <c r="J312" t="str">
        <f>IF(I312="","",COUNTIF($I$2:$I$501,"&lt;="&amp;I312))</f>
        <v/>
      </c>
      <c r="K312" s="3"/>
    </row>
    <row r="313" spans="5:11" x14ac:dyDescent="0.35">
      <c r="E313" s="3"/>
      <c r="F313" s="3"/>
      <c r="H313" s="3"/>
      <c r="I313" t="str">
        <f>IF($B313="","",LOWER($B313)&amp;"|"&amp;TEXT(ROW(),"0000"))</f>
        <v/>
      </c>
      <c r="J313" t="str">
        <f>IF(I313="","",COUNTIF($I$2:$I$501,"&lt;="&amp;I313))</f>
        <v/>
      </c>
      <c r="K313" s="3"/>
    </row>
    <row r="314" spans="5:11" x14ac:dyDescent="0.35">
      <c r="E314" s="3"/>
      <c r="F314" s="3"/>
      <c r="H314" s="3"/>
      <c r="I314" t="str">
        <f>IF($B314="","",LOWER($B314)&amp;"|"&amp;TEXT(ROW(),"0000"))</f>
        <v/>
      </c>
      <c r="J314" t="str">
        <f>IF(I314="","",COUNTIF($I$2:$I$501,"&lt;="&amp;I314))</f>
        <v/>
      </c>
      <c r="K314" s="3"/>
    </row>
    <row r="315" spans="5:11" x14ac:dyDescent="0.35">
      <c r="E315" s="3"/>
      <c r="F315" s="3"/>
      <c r="H315" s="3"/>
      <c r="I315" t="str">
        <f>IF($B315="","",LOWER($B315)&amp;"|"&amp;TEXT(ROW(),"0000"))</f>
        <v/>
      </c>
      <c r="J315" t="str">
        <f>IF(I315="","",COUNTIF($I$2:$I$501,"&lt;="&amp;I315))</f>
        <v/>
      </c>
      <c r="K315" s="3"/>
    </row>
    <row r="316" spans="5:11" x14ac:dyDescent="0.35">
      <c r="E316" s="3"/>
      <c r="F316" s="3"/>
      <c r="H316" s="3"/>
      <c r="I316" t="str">
        <f>IF($B316="","",LOWER($B316)&amp;"|"&amp;TEXT(ROW(),"0000"))</f>
        <v/>
      </c>
      <c r="J316" t="str">
        <f>IF(I316="","",COUNTIF($I$2:$I$501,"&lt;="&amp;I316))</f>
        <v/>
      </c>
      <c r="K316" s="3"/>
    </row>
    <row r="317" spans="5:11" x14ac:dyDescent="0.35">
      <c r="E317" s="3"/>
      <c r="F317" s="3"/>
      <c r="H317" s="3"/>
      <c r="I317" t="str">
        <f>IF($B317="","",LOWER($B317)&amp;"|"&amp;TEXT(ROW(),"0000"))</f>
        <v/>
      </c>
      <c r="J317" t="str">
        <f>IF(I317="","",COUNTIF($I$2:$I$501,"&lt;="&amp;I317))</f>
        <v/>
      </c>
      <c r="K317" s="3"/>
    </row>
    <row r="318" spans="5:11" x14ac:dyDescent="0.35">
      <c r="E318" s="3"/>
      <c r="F318" s="3"/>
      <c r="H318" s="3"/>
      <c r="I318" t="str">
        <f>IF($B318="","",LOWER($B318)&amp;"|"&amp;TEXT(ROW(),"0000"))</f>
        <v/>
      </c>
      <c r="J318" t="str">
        <f>IF(I318="","",COUNTIF($I$2:$I$501,"&lt;="&amp;I318))</f>
        <v/>
      </c>
      <c r="K318" s="3"/>
    </row>
    <row r="319" spans="5:11" x14ac:dyDescent="0.35">
      <c r="E319" s="3"/>
      <c r="F319" s="3"/>
      <c r="H319" s="3"/>
      <c r="I319" t="str">
        <f>IF($B319="","",LOWER($B319)&amp;"|"&amp;TEXT(ROW(),"0000"))</f>
        <v/>
      </c>
      <c r="J319" t="str">
        <f>IF(I319="","",COUNTIF($I$2:$I$501,"&lt;="&amp;I319))</f>
        <v/>
      </c>
      <c r="K319" s="3"/>
    </row>
    <row r="320" spans="5:11" x14ac:dyDescent="0.35">
      <c r="E320" s="3"/>
      <c r="F320" s="3"/>
      <c r="H320" s="3"/>
      <c r="I320" t="str">
        <f>IF($B320="","",LOWER($B320)&amp;"|"&amp;TEXT(ROW(),"0000"))</f>
        <v/>
      </c>
      <c r="J320" t="str">
        <f>IF(I320="","",COUNTIF($I$2:$I$501,"&lt;="&amp;I320))</f>
        <v/>
      </c>
      <c r="K320" s="3"/>
    </row>
    <row r="321" spans="5:11" x14ac:dyDescent="0.35">
      <c r="E321" s="3"/>
      <c r="F321" s="3"/>
      <c r="H321" s="3"/>
      <c r="I321" t="str">
        <f>IF($B321="","",LOWER($B321)&amp;"|"&amp;TEXT(ROW(),"0000"))</f>
        <v/>
      </c>
      <c r="J321" t="str">
        <f>IF(I321="","",COUNTIF($I$2:$I$501,"&lt;="&amp;I321))</f>
        <v/>
      </c>
      <c r="K321" s="3"/>
    </row>
    <row r="322" spans="5:11" x14ac:dyDescent="0.35">
      <c r="E322" s="3"/>
      <c r="F322" s="3"/>
      <c r="H322" s="3"/>
      <c r="I322" t="str">
        <f>IF($B322="","",LOWER($B322)&amp;"|"&amp;TEXT(ROW(),"0000"))</f>
        <v/>
      </c>
      <c r="J322" t="str">
        <f>IF(I322="","",COUNTIF($I$2:$I$501,"&lt;="&amp;I322))</f>
        <v/>
      </c>
      <c r="K322" s="3"/>
    </row>
    <row r="323" spans="5:11" x14ac:dyDescent="0.35">
      <c r="E323" s="3"/>
      <c r="F323" s="3"/>
      <c r="H323" s="3"/>
      <c r="I323" t="str">
        <f>IF($B323="","",LOWER($B323)&amp;"|"&amp;TEXT(ROW(),"0000"))</f>
        <v/>
      </c>
      <c r="J323" t="str">
        <f>IF(I323="","",COUNTIF($I$2:$I$501,"&lt;="&amp;I323))</f>
        <v/>
      </c>
      <c r="K323" s="3"/>
    </row>
    <row r="324" spans="5:11" x14ac:dyDescent="0.35">
      <c r="E324" s="3"/>
      <c r="F324" s="3"/>
      <c r="H324" s="3"/>
      <c r="I324" t="str">
        <f>IF($B324="","",LOWER($B324)&amp;"|"&amp;TEXT(ROW(),"0000"))</f>
        <v/>
      </c>
      <c r="J324" t="str">
        <f>IF(I324="","",COUNTIF($I$2:$I$501,"&lt;="&amp;I324))</f>
        <v/>
      </c>
      <c r="K324" s="3"/>
    </row>
    <row r="325" spans="5:11" x14ac:dyDescent="0.35">
      <c r="E325" s="3"/>
      <c r="F325" s="3"/>
      <c r="H325" s="3"/>
      <c r="I325" t="str">
        <f>IF($B325="","",LOWER($B325)&amp;"|"&amp;TEXT(ROW(),"0000"))</f>
        <v/>
      </c>
      <c r="J325" t="str">
        <f>IF(I325="","",COUNTIF($I$2:$I$501,"&lt;="&amp;I325))</f>
        <v/>
      </c>
      <c r="K325" s="3"/>
    </row>
    <row r="326" spans="5:11" x14ac:dyDescent="0.35">
      <c r="E326" s="3"/>
      <c r="F326" s="3"/>
      <c r="H326" s="3"/>
      <c r="I326" t="str">
        <f>IF($B326="","",LOWER($B326)&amp;"|"&amp;TEXT(ROW(),"0000"))</f>
        <v/>
      </c>
      <c r="J326" t="str">
        <f>IF(I326="","",COUNTIF($I$2:$I$501,"&lt;="&amp;I326))</f>
        <v/>
      </c>
      <c r="K326" s="3"/>
    </row>
    <row r="327" spans="5:11" x14ac:dyDescent="0.35">
      <c r="E327" s="3"/>
      <c r="F327" s="3"/>
      <c r="H327" s="3"/>
      <c r="I327" t="str">
        <f>IF($B327="","",LOWER($B327)&amp;"|"&amp;TEXT(ROW(),"0000"))</f>
        <v/>
      </c>
      <c r="J327" t="str">
        <f>IF(I327="","",COUNTIF($I$2:$I$501,"&lt;="&amp;I327))</f>
        <v/>
      </c>
      <c r="K327" s="3"/>
    </row>
    <row r="328" spans="5:11" x14ac:dyDescent="0.35">
      <c r="E328" s="3"/>
      <c r="F328" s="3"/>
      <c r="H328" s="3"/>
      <c r="I328" t="str">
        <f>IF($B328="","",LOWER($B328)&amp;"|"&amp;TEXT(ROW(),"0000"))</f>
        <v/>
      </c>
      <c r="J328" t="str">
        <f>IF(I328="","",COUNTIF($I$2:$I$501,"&lt;="&amp;I328))</f>
        <v/>
      </c>
      <c r="K328" s="3"/>
    </row>
    <row r="329" spans="5:11" x14ac:dyDescent="0.35">
      <c r="E329" s="3"/>
      <c r="F329" s="3"/>
      <c r="H329" s="3"/>
      <c r="I329" t="str">
        <f>IF($B329="","",LOWER($B329)&amp;"|"&amp;TEXT(ROW(),"0000"))</f>
        <v/>
      </c>
      <c r="J329" t="str">
        <f>IF(I329="","",COUNTIF($I$2:$I$501,"&lt;="&amp;I329))</f>
        <v/>
      </c>
      <c r="K329" s="3"/>
    </row>
    <row r="330" spans="5:11" x14ac:dyDescent="0.35">
      <c r="E330" s="3"/>
      <c r="F330" s="3"/>
      <c r="H330" s="3"/>
      <c r="I330" t="str">
        <f>IF($B330="","",LOWER($B330)&amp;"|"&amp;TEXT(ROW(),"0000"))</f>
        <v/>
      </c>
      <c r="J330" t="str">
        <f>IF(I330="","",COUNTIF($I$2:$I$501,"&lt;="&amp;I330))</f>
        <v/>
      </c>
      <c r="K330" s="3"/>
    </row>
    <row r="331" spans="5:11" x14ac:dyDescent="0.35">
      <c r="E331" s="3"/>
      <c r="F331" s="3"/>
      <c r="H331" s="3"/>
      <c r="I331" t="str">
        <f>IF($B331="","",LOWER($B331)&amp;"|"&amp;TEXT(ROW(),"0000"))</f>
        <v/>
      </c>
      <c r="J331" t="str">
        <f>IF(I331="","",COUNTIF($I$2:$I$501,"&lt;="&amp;I331))</f>
        <v/>
      </c>
      <c r="K331" s="3"/>
    </row>
    <row r="332" spans="5:11" x14ac:dyDescent="0.35">
      <c r="E332" s="3"/>
      <c r="F332" s="3"/>
      <c r="H332" s="3"/>
      <c r="I332" t="str">
        <f>IF($B332="","",LOWER($B332)&amp;"|"&amp;TEXT(ROW(),"0000"))</f>
        <v/>
      </c>
      <c r="J332" t="str">
        <f>IF(I332="","",COUNTIF($I$2:$I$501,"&lt;="&amp;I332))</f>
        <v/>
      </c>
      <c r="K332" s="3"/>
    </row>
    <row r="333" spans="5:11" x14ac:dyDescent="0.35">
      <c r="E333" s="3"/>
      <c r="F333" s="3"/>
      <c r="H333" s="3"/>
      <c r="I333" t="str">
        <f>IF($B333="","",LOWER($B333)&amp;"|"&amp;TEXT(ROW(),"0000"))</f>
        <v/>
      </c>
      <c r="J333" t="str">
        <f>IF(I333="","",COUNTIF($I$2:$I$501,"&lt;="&amp;I333))</f>
        <v/>
      </c>
      <c r="K333" s="3"/>
    </row>
    <row r="334" spans="5:11" x14ac:dyDescent="0.35">
      <c r="E334" s="3"/>
      <c r="F334" s="3"/>
      <c r="H334" s="3"/>
      <c r="I334" t="str">
        <f>IF($B334="","",LOWER($B334)&amp;"|"&amp;TEXT(ROW(),"0000"))</f>
        <v/>
      </c>
      <c r="J334" t="str">
        <f>IF(I334="","",COUNTIF($I$2:$I$501,"&lt;="&amp;I334))</f>
        <v/>
      </c>
      <c r="K334" s="3"/>
    </row>
    <row r="335" spans="5:11" x14ac:dyDescent="0.35">
      <c r="E335" s="3"/>
      <c r="F335" s="3"/>
      <c r="H335" s="3"/>
      <c r="I335" t="str">
        <f>IF($B335="","",LOWER($B335)&amp;"|"&amp;TEXT(ROW(),"0000"))</f>
        <v/>
      </c>
      <c r="J335" t="str">
        <f>IF(I335="","",COUNTIF($I$2:$I$501,"&lt;="&amp;I335))</f>
        <v/>
      </c>
      <c r="K335" s="3"/>
    </row>
    <row r="336" spans="5:11" x14ac:dyDescent="0.35">
      <c r="E336" s="3"/>
      <c r="F336" s="3"/>
      <c r="H336" s="3"/>
      <c r="I336" t="str">
        <f>IF($B336="","",LOWER($B336)&amp;"|"&amp;TEXT(ROW(),"0000"))</f>
        <v/>
      </c>
      <c r="J336" t="str">
        <f>IF(I336="","",COUNTIF($I$2:$I$501,"&lt;="&amp;I336))</f>
        <v/>
      </c>
      <c r="K336" s="3"/>
    </row>
    <row r="337" spans="5:11" x14ac:dyDescent="0.35">
      <c r="E337" s="3"/>
      <c r="F337" s="3"/>
      <c r="H337" s="3"/>
      <c r="I337" t="str">
        <f>IF($B337="","",LOWER($B337)&amp;"|"&amp;TEXT(ROW(),"0000"))</f>
        <v/>
      </c>
      <c r="J337" t="str">
        <f>IF(I337="","",COUNTIF($I$2:$I$501,"&lt;="&amp;I337))</f>
        <v/>
      </c>
      <c r="K337" s="3"/>
    </row>
    <row r="338" spans="5:11" x14ac:dyDescent="0.35">
      <c r="E338" s="3"/>
      <c r="F338" s="3"/>
      <c r="H338" s="3"/>
      <c r="I338" t="str">
        <f>IF($B338="","",LOWER($B338)&amp;"|"&amp;TEXT(ROW(),"0000"))</f>
        <v/>
      </c>
      <c r="J338" t="str">
        <f>IF(I338="","",COUNTIF($I$2:$I$501,"&lt;="&amp;I338))</f>
        <v/>
      </c>
      <c r="K338" s="3"/>
    </row>
    <row r="339" spans="5:11" x14ac:dyDescent="0.35">
      <c r="E339" s="3"/>
      <c r="F339" s="3"/>
      <c r="H339" s="3"/>
      <c r="I339" t="str">
        <f>IF($B339="","",LOWER($B339)&amp;"|"&amp;TEXT(ROW(),"0000"))</f>
        <v/>
      </c>
      <c r="J339" t="str">
        <f>IF(I339="","",COUNTIF($I$2:$I$501,"&lt;="&amp;I339))</f>
        <v/>
      </c>
      <c r="K339" s="3"/>
    </row>
    <row r="340" spans="5:11" x14ac:dyDescent="0.35">
      <c r="E340" s="3"/>
      <c r="F340" s="3"/>
      <c r="H340" s="3"/>
      <c r="I340" t="str">
        <f>IF($B340="","",LOWER($B340)&amp;"|"&amp;TEXT(ROW(),"0000"))</f>
        <v/>
      </c>
      <c r="J340" t="str">
        <f>IF(I340="","",COUNTIF($I$2:$I$501,"&lt;="&amp;I340))</f>
        <v/>
      </c>
      <c r="K340" s="3"/>
    </row>
    <row r="341" spans="5:11" x14ac:dyDescent="0.35">
      <c r="E341" s="3"/>
      <c r="F341" s="3"/>
      <c r="H341" s="3"/>
      <c r="I341" t="str">
        <f>IF($B341="","",LOWER($B341)&amp;"|"&amp;TEXT(ROW(),"0000"))</f>
        <v/>
      </c>
      <c r="J341" t="str">
        <f>IF(I341="","",COUNTIF($I$2:$I$501,"&lt;="&amp;I341))</f>
        <v/>
      </c>
      <c r="K341" s="3"/>
    </row>
    <row r="342" spans="5:11" x14ac:dyDescent="0.35">
      <c r="E342" s="3"/>
      <c r="F342" s="3"/>
      <c r="H342" s="3"/>
      <c r="I342" t="str">
        <f>IF($B342="","",LOWER($B342)&amp;"|"&amp;TEXT(ROW(),"0000"))</f>
        <v/>
      </c>
      <c r="J342" t="str">
        <f>IF(I342="","",COUNTIF($I$2:$I$501,"&lt;="&amp;I342))</f>
        <v/>
      </c>
      <c r="K342" s="3"/>
    </row>
    <row r="343" spans="5:11" x14ac:dyDescent="0.35">
      <c r="E343" s="3"/>
      <c r="F343" s="3"/>
      <c r="H343" s="3"/>
      <c r="I343" t="str">
        <f>IF($B343="","",LOWER($B343)&amp;"|"&amp;TEXT(ROW(),"0000"))</f>
        <v/>
      </c>
      <c r="J343" t="str">
        <f>IF(I343="","",COUNTIF($I$2:$I$501,"&lt;="&amp;I343))</f>
        <v/>
      </c>
      <c r="K343" s="3"/>
    </row>
    <row r="344" spans="5:11" x14ac:dyDescent="0.35">
      <c r="E344" s="3"/>
      <c r="F344" s="3"/>
      <c r="H344" s="3"/>
      <c r="I344" t="str">
        <f>IF($B344="","",LOWER($B344)&amp;"|"&amp;TEXT(ROW(),"0000"))</f>
        <v/>
      </c>
      <c r="J344" t="str">
        <f>IF(I344="","",COUNTIF($I$2:$I$501,"&lt;="&amp;I344))</f>
        <v/>
      </c>
      <c r="K344" s="3"/>
    </row>
    <row r="345" spans="5:11" x14ac:dyDescent="0.35">
      <c r="E345" s="3"/>
      <c r="F345" s="3"/>
      <c r="H345" s="3"/>
      <c r="I345" t="str">
        <f>IF($B345="","",LOWER($B345)&amp;"|"&amp;TEXT(ROW(),"0000"))</f>
        <v/>
      </c>
      <c r="J345" t="str">
        <f>IF(I345="","",COUNTIF($I$2:$I$501,"&lt;="&amp;I345))</f>
        <v/>
      </c>
      <c r="K345" s="3"/>
    </row>
    <row r="346" spans="5:11" x14ac:dyDescent="0.35">
      <c r="E346" s="3"/>
      <c r="F346" s="3"/>
      <c r="H346" s="3"/>
      <c r="I346" t="str">
        <f>IF($B346="","",LOWER($B346)&amp;"|"&amp;TEXT(ROW(),"0000"))</f>
        <v/>
      </c>
      <c r="J346" t="str">
        <f>IF(I346="","",COUNTIF($I$2:$I$501,"&lt;="&amp;I346))</f>
        <v/>
      </c>
      <c r="K346" s="3"/>
    </row>
    <row r="347" spans="5:11" x14ac:dyDescent="0.35">
      <c r="E347" s="3"/>
      <c r="F347" s="3"/>
      <c r="H347" s="3"/>
      <c r="I347" t="str">
        <f>IF($B347="","",LOWER($B347)&amp;"|"&amp;TEXT(ROW(),"0000"))</f>
        <v/>
      </c>
      <c r="J347" t="str">
        <f>IF(I347="","",COUNTIF($I$2:$I$501,"&lt;="&amp;I347))</f>
        <v/>
      </c>
      <c r="K347" s="3"/>
    </row>
    <row r="348" spans="5:11" x14ac:dyDescent="0.35">
      <c r="E348" s="3"/>
      <c r="F348" s="3"/>
      <c r="H348" s="3"/>
      <c r="I348" t="str">
        <f>IF($B348="","",LOWER($B348)&amp;"|"&amp;TEXT(ROW(),"0000"))</f>
        <v/>
      </c>
      <c r="J348" t="str">
        <f>IF(I348="","",COUNTIF($I$2:$I$501,"&lt;="&amp;I348))</f>
        <v/>
      </c>
      <c r="K348" s="3"/>
    </row>
    <row r="349" spans="5:11" x14ac:dyDescent="0.35">
      <c r="E349" s="3"/>
      <c r="F349" s="3"/>
      <c r="H349" s="3"/>
      <c r="I349" t="str">
        <f>IF($B349="","",LOWER($B349)&amp;"|"&amp;TEXT(ROW(),"0000"))</f>
        <v/>
      </c>
      <c r="J349" t="str">
        <f>IF(I349="","",COUNTIF($I$2:$I$501,"&lt;="&amp;I349))</f>
        <v/>
      </c>
      <c r="K349" s="3"/>
    </row>
    <row r="350" spans="5:11" x14ac:dyDescent="0.35">
      <c r="E350" s="3"/>
      <c r="F350" s="3"/>
      <c r="H350" s="3"/>
      <c r="I350" t="str">
        <f>IF($B350="","",LOWER($B350)&amp;"|"&amp;TEXT(ROW(),"0000"))</f>
        <v/>
      </c>
      <c r="J350" t="str">
        <f>IF(I350="","",COUNTIF($I$2:$I$501,"&lt;="&amp;I350))</f>
        <v/>
      </c>
      <c r="K350" s="3"/>
    </row>
    <row r="351" spans="5:11" x14ac:dyDescent="0.35">
      <c r="E351" s="3"/>
      <c r="F351" s="3"/>
      <c r="H351" s="3"/>
      <c r="I351" t="str">
        <f>IF($B351="","",LOWER($B351)&amp;"|"&amp;TEXT(ROW(),"0000"))</f>
        <v/>
      </c>
      <c r="J351" t="str">
        <f>IF(I351="","",COUNTIF($I$2:$I$501,"&lt;="&amp;I351))</f>
        <v/>
      </c>
      <c r="K351" s="3"/>
    </row>
    <row r="352" spans="5:11" x14ac:dyDescent="0.35">
      <c r="E352" s="3"/>
      <c r="F352" s="3"/>
      <c r="H352" s="3"/>
      <c r="I352" t="str">
        <f>IF($B352="","",LOWER($B352)&amp;"|"&amp;TEXT(ROW(),"0000"))</f>
        <v/>
      </c>
      <c r="J352" t="str">
        <f>IF(I352="","",COUNTIF($I$2:$I$501,"&lt;="&amp;I352))</f>
        <v/>
      </c>
      <c r="K352" s="3"/>
    </row>
    <row r="353" spans="5:11" x14ac:dyDescent="0.35">
      <c r="E353" s="3"/>
      <c r="F353" s="3"/>
      <c r="H353" s="3"/>
      <c r="I353" t="str">
        <f>IF($B353="","",LOWER($B353)&amp;"|"&amp;TEXT(ROW(),"0000"))</f>
        <v/>
      </c>
      <c r="J353" t="str">
        <f>IF(I353="","",COUNTIF($I$2:$I$501,"&lt;="&amp;I353))</f>
        <v/>
      </c>
      <c r="K353" s="3"/>
    </row>
    <row r="354" spans="5:11" x14ac:dyDescent="0.35">
      <c r="E354" s="3"/>
      <c r="F354" s="3"/>
      <c r="H354" s="3"/>
      <c r="I354" t="str">
        <f>IF($B354="","",LOWER($B354)&amp;"|"&amp;TEXT(ROW(),"0000"))</f>
        <v/>
      </c>
      <c r="J354" t="str">
        <f>IF(I354="","",COUNTIF($I$2:$I$501,"&lt;="&amp;I354))</f>
        <v/>
      </c>
      <c r="K354" s="3"/>
    </row>
    <row r="355" spans="5:11" x14ac:dyDescent="0.35">
      <c r="E355" s="3"/>
      <c r="F355" s="3"/>
      <c r="H355" s="3"/>
      <c r="I355" t="str">
        <f>IF($B355="","",LOWER($B355)&amp;"|"&amp;TEXT(ROW(),"0000"))</f>
        <v/>
      </c>
      <c r="J355" t="str">
        <f>IF(I355="","",COUNTIF($I$2:$I$501,"&lt;="&amp;I355))</f>
        <v/>
      </c>
      <c r="K355" s="3"/>
    </row>
    <row r="356" spans="5:11" x14ac:dyDescent="0.35">
      <c r="E356" s="3"/>
      <c r="F356" s="3"/>
      <c r="H356" s="3"/>
      <c r="I356" t="str">
        <f>IF($B356="","",LOWER($B356)&amp;"|"&amp;TEXT(ROW(),"0000"))</f>
        <v/>
      </c>
      <c r="J356" t="str">
        <f>IF(I356="","",COUNTIF($I$2:$I$501,"&lt;="&amp;I356))</f>
        <v/>
      </c>
      <c r="K356" s="3"/>
    </row>
    <row r="357" spans="5:11" x14ac:dyDescent="0.35">
      <c r="E357" s="3"/>
      <c r="F357" s="3"/>
      <c r="H357" s="3"/>
      <c r="I357" t="str">
        <f>IF($B357="","",LOWER($B357)&amp;"|"&amp;TEXT(ROW(),"0000"))</f>
        <v/>
      </c>
      <c r="J357" t="str">
        <f>IF(I357="","",COUNTIF($I$2:$I$501,"&lt;="&amp;I357))</f>
        <v/>
      </c>
      <c r="K357" s="3"/>
    </row>
    <row r="358" spans="5:11" x14ac:dyDescent="0.35">
      <c r="E358" s="3"/>
      <c r="F358" s="3"/>
      <c r="H358" s="3"/>
      <c r="I358" t="str">
        <f>IF($B358="","",LOWER($B358)&amp;"|"&amp;TEXT(ROW(),"0000"))</f>
        <v/>
      </c>
      <c r="J358" t="str">
        <f>IF(I358="","",COUNTIF($I$2:$I$501,"&lt;="&amp;I358))</f>
        <v/>
      </c>
      <c r="K358" s="3"/>
    </row>
    <row r="359" spans="5:11" x14ac:dyDescent="0.35">
      <c r="E359" s="3"/>
      <c r="F359" s="3"/>
      <c r="H359" s="3"/>
      <c r="I359" t="str">
        <f>IF($B359="","",LOWER($B359)&amp;"|"&amp;TEXT(ROW(),"0000"))</f>
        <v/>
      </c>
      <c r="J359" t="str">
        <f>IF(I359="","",COUNTIF($I$2:$I$501,"&lt;="&amp;I359))</f>
        <v/>
      </c>
      <c r="K359" s="3"/>
    </row>
    <row r="360" spans="5:11" x14ac:dyDescent="0.35">
      <c r="E360" s="3"/>
      <c r="F360" s="3"/>
      <c r="H360" s="3"/>
      <c r="I360" t="str">
        <f>IF($B360="","",LOWER($B360)&amp;"|"&amp;TEXT(ROW(),"0000"))</f>
        <v/>
      </c>
      <c r="J360" t="str">
        <f>IF(I360="","",COUNTIF($I$2:$I$501,"&lt;="&amp;I360))</f>
        <v/>
      </c>
      <c r="K360" s="3"/>
    </row>
    <row r="361" spans="5:11" x14ac:dyDescent="0.35">
      <c r="E361" s="3"/>
      <c r="F361" s="3"/>
      <c r="H361" s="3"/>
      <c r="I361" t="str">
        <f>IF($B361="","",LOWER($B361)&amp;"|"&amp;TEXT(ROW(),"0000"))</f>
        <v/>
      </c>
      <c r="J361" t="str">
        <f>IF(I361="","",COUNTIF($I$2:$I$501,"&lt;="&amp;I361))</f>
        <v/>
      </c>
      <c r="K361" s="3"/>
    </row>
    <row r="362" spans="5:11" x14ac:dyDescent="0.35">
      <c r="E362" s="3"/>
      <c r="F362" s="3"/>
      <c r="H362" s="3"/>
      <c r="I362" t="str">
        <f>IF($B362="","",LOWER($B362)&amp;"|"&amp;TEXT(ROW(),"0000"))</f>
        <v/>
      </c>
      <c r="J362" t="str">
        <f>IF(I362="","",COUNTIF($I$2:$I$501,"&lt;="&amp;I362))</f>
        <v/>
      </c>
      <c r="K362" s="3"/>
    </row>
    <row r="363" spans="5:11" x14ac:dyDescent="0.35">
      <c r="E363" s="3"/>
      <c r="F363" s="3"/>
      <c r="H363" s="3"/>
      <c r="I363" t="str">
        <f>IF($B363="","",LOWER($B363)&amp;"|"&amp;TEXT(ROW(),"0000"))</f>
        <v/>
      </c>
      <c r="J363" t="str">
        <f>IF(I363="","",COUNTIF($I$2:$I$501,"&lt;="&amp;I363))</f>
        <v/>
      </c>
      <c r="K363" s="3"/>
    </row>
    <row r="364" spans="5:11" x14ac:dyDescent="0.35">
      <c r="E364" s="3"/>
      <c r="F364" s="3"/>
      <c r="H364" s="3"/>
      <c r="I364" t="str">
        <f>IF($B364="","",LOWER($B364)&amp;"|"&amp;TEXT(ROW(),"0000"))</f>
        <v/>
      </c>
      <c r="J364" t="str">
        <f>IF(I364="","",COUNTIF($I$2:$I$501,"&lt;="&amp;I364))</f>
        <v/>
      </c>
      <c r="K364" s="3"/>
    </row>
    <row r="365" spans="5:11" x14ac:dyDescent="0.35">
      <c r="E365" s="3"/>
      <c r="F365" s="3"/>
      <c r="H365" s="3"/>
      <c r="I365" t="str">
        <f>IF($B365="","",LOWER($B365)&amp;"|"&amp;TEXT(ROW(),"0000"))</f>
        <v/>
      </c>
      <c r="J365" t="str">
        <f>IF(I365="","",COUNTIF($I$2:$I$501,"&lt;="&amp;I365))</f>
        <v/>
      </c>
      <c r="K365" s="3"/>
    </row>
    <row r="366" spans="5:11" x14ac:dyDescent="0.35">
      <c r="E366" s="3"/>
      <c r="F366" s="3"/>
      <c r="H366" s="3"/>
      <c r="I366" t="str">
        <f>IF($B366="","",LOWER($B366)&amp;"|"&amp;TEXT(ROW(),"0000"))</f>
        <v/>
      </c>
      <c r="J366" t="str">
        <f>IF(I366="","",COUNTIF($I$2:$I$501,"&lt;="&amp;I366))</f>
        <v/>
      </c>
      <c r="K366" s="3"/>
    </row>
    <row r="367" spans="5:11" x14ac:dyDescent="0.35">
      <c r="E367" s="3"/>
      <c r="F367" s="3"/>
      <c r="H367" s="3"/>
      <c r="I367" t="str">
        <f>IF($B367="","",LOWER($B367)&amp;"|"&amp;TEXT(ROW(),"0000"))</f>
        <v/>
      </c>
      <c r="J367" t="str">
        <f>IF(I367="","",COUNTIF($I$2:$I$501,"&lt;="&amp;I367))</f>
        <v/>
      </c>
      <c r="K367" s="3"/>
    </row>
    <row r="368" spans="5:11" x14ac:dyDescent="0.35">
      <c r="E368" s="3"/>
      <c r="F368" s="3"/>
      <c r="H368" s="3"/>
      <c r="I368" t="str">
        <f>IF($B368="","",LOWER($B368)&amp;"|"&amp;TEXT(ROW(),"0000"))</f>
        <v/>
      </c>
      <c r="J368" t="str">
        <f>IF(I368="","",COUNTIF($I$2:$I$501,"&lt;="&amp;I368))</f>
        <v/>
      </c>
      <c r="K368" s="3"/>
    </row>
    <row r="369" spans="5:11" x14ac:dyDescent="0.35">
      <c r="E369" s="3"/>
      <c r="F369" s="3"/>
      <c r="H369" s="3"/>
      <c r="I369" t="str">
        <f>IF($B369="","",LOWER($B369)&amp;"|"&amp;TEXT(ROW(),"0000"))</f>
        <v/>
      </c>
      <c r="J369" t="str">
        <f>IF(I369="","",COUNTIF($I$2:$I$501,"&lt;="&amp;I369))</f>
        <v/>
      </c>
      <c r="K369" s="3"/>
    </row>
    <row r="370" spans="5:11" x14ac:dyDescent="0.35">
      <c r="E370" s="3"/>
      <c r="F370" s="3"/>
      <c r="H370" s="3"/>
      <c r="I370" t="str">
        <f>IF($B370="","",LOWER($B370)&amp;"|"&amp;TEXT(ROW(),"0000"))</f>
        <v/>
      </c>
      <c r="J370" t="str">
        <f>IF(I370="","",COUNTIF($I$2:$I$501,"&lt;="&amp;I370))</f>
        <v/>
      </c>
      <c r="K370" s="3"/>
    </row>
    <row r="371" spans="5:11" x14ac:dyDescent="0.35">
      <c r="E371" s="3"/>
      <c r="F371" s="3"/>
      <c r="H371" s="3"/>
      <c r="I371" t="str">
        <f>IF($B371="","",LOWER($B371)&amp;"|"&amp;TEXT(ROW(),"0000"))</f>
        <v/>
      </c>
      <c r="J371" t="str">
        <f>IF(I371="","",COUNTIF($I$2:$I$501,"&lt;="&amp;I371))</f>
        <v/>
      </c>
      <c r="K371" s="3"/>
    </row>
    <row r="372" spans="5:11" x14ac:dyDescent="0.35">
      <c r="E372" s="3"/>
      <c r="F372" s="3"/>
      <c r="H372" s="3"/>
      <c r="I372" t="str">
        <f>IF($B372="","",LOWER($B372)&amp;"|"&amp;TEXT(ROW(),"0000"))</f>
        <v/>
      </c>
      <c r="J372" t="str">
        <f>IF(I372="","",COUNTIF($I$2:$I$501,"&lt;="&amp;I372))</f>
        <v/>
      </c>
      <c r="K372" s="3"/>
    </row>
    <row r="373" spans="5:11" x14ac:dyDescent="0.35">
      <c r="E373" s="3"/>
      <c r="F373" s="3"/>
      <c r="H373" s="3"/>
      <c r="I373" t="str">
        <f>IF($B373="","",LOWER($B373)&amp;"|"&amp;TEXT(ROW(),"0000"))</f>
        <v/>
      </c>
      <c r="J373" t="str">
        <f>IF(I373="","",COUNTIF($I$2:$I$501,"&lt;="&amp;I373))</f>
        <v/>
      </c>
      <c r="K373" s="3"/>
    </row>
    <row r="374" spans="5:11" x14ac:dyDescent="0.35">
      <c r="E374" s="3"/>
      <c r="F374" s="3"/>
      <c r="H374" s="3"/>
      <c r="I374" t="str">
        <f>IF($B374="","",LOWER($B374)&amp;"|"&amp;TEXT(ROW(),"0000"))</f>
        <v/>
      </c>
      <c r="J374" t="str">
        <f>IF(I374="","",COUNTIF($I$2:$I$501,"&lt;="&amp;I374))</f>
        <v/>
      </c>
      <c r="K374" s="3"/>
    </row>
    <row r="375" spans="5:11" x14ac:dyDescent="0.35">
      <c r="E375" s="3"/>
      <c r="F375" s="3"/>
      <c r="H375" s="3"/>
      <c r="I375" t="str">
        <f>IF($B375="","",LOWER($B375)&amp;"|"&amp;TEXT(ROW(),"0000"))</f>
        <v/>
      </c>
      <c r="J375" t="str">
        <f>IF(I375="","",COUNTIF($I$2:$I$501,"&lt;="&amp;I375))</f>
        <v/>
      </c>
      <c r="K375" s="3"/>
    </row>
    <row r="376" spans="5:11" x14ac:dyDescent="0.35">
      <c r="E376" s="3"/>
      <c r="F376" s="3"/>
      <c r="H376" s="3"/>
      <c r="I376" t="str">
        <f>IF($B376="","",LOWER($B376)&amp;"|"&amp;TEXT(ROW(),"0000"))</f>
        <v/>
      </c>
      <c r="J376" t="str">
        <f>IF(I376="","",COUNTIF($I$2:$I$501,"&lt;="&amp;I376))</f>
        <v/>
      </c>
      <c r="K376" s="3"/>
    </row>
    <row r="377" spans="5:11" x14ac:dyDescent="0.35">
      <c r="E377" s="3"/>
      <c r="F377" s="3"/>
      <c r="H377" s="3"/>
      <c r="I377" t="str">
        <f>IF($B377="","",LOWER($B377)&amp;"|"&amp;TEXT(ROW(),"0000"))</f>
        <v/>
      </c>
      <c r="J377" t="str">
        <f>IF(I377="","",COUNTIF($I$2:$I$501,"&lt;="&amp;I377))</f>
        <v/>
      </c>
      <c r="K377" s="3"/>
    </row>
    <row r="378" spans="5:11" x14ac:dyDescent="0.35">
      <c r="E378" s="3"/>
      <c r="F378" s="3"/>
      <c r="H378" s="3"/>
      <c r="I378" t="str">
        <f>IF($B378="","",LOWER($B378)&amp;"|"&amp;TEXT(ROW(),"0000"))</f>
        <v/>
      </c>
      <c r="J378" t="str">
        <f>IF(I378="","",COUNTIF($I$2:$I$501,"&lt;="&amp;I378))</f>
        <v/>
      </c>
      <c r="K378" s="3"/>
    </row>
    <row r="379" spans="5:11" x14ac:dyDescent="0.35">
      <c r="E379" s="3"/>
      <c r="F379" s="3"/>
      <c r="H379" s="3"/>
      <c r="I379" t="str">
        <f>IF($B379="","",LOWER($B379)&amp;"|"&amp;TEXT(ROW(),"0000"))</f>
        <v/>
      </c>
      <c r="J379" t="str">
        <f>IF(I379="","",COUNTIF($I$2:$I$501,"&lt;="&amp;I379))</f>
        <v/>
      </c>
      <c r="K379" s="3"/>
    </row>
    <row r="380" spans="5:11" x14ac:dyDescent="0.35">
      <c r="E380" s="3"/>
      <c r="F380" s="3"/>
      <c r="H380" s="3"/>
      <c r="I380" t="str">
        <f>IF($B380="","",LOWER($B380)&amp;"|"&amp;TEXT(ROW(),"0000"))</f>
        <v/>
      </c>
      <c r="J380" t="str">
        <f>IF(I380="","",COUNTIF($I$2:$I$501,"&lt;="&amp;I380))</f>
        <v/>
      </c>
      <c r="K380" s="3"/>
    </row>
    <row r="381" spans="5:11" x14ac:dyDescent="0.35">
      <c r="E381" s="3"/>
      <c r="F381" s="3"/>
      <c r="H381" s="3"/>
      <c r="I381" t="str">
        <f>IF($B381="","",LOWER($B381)&amp;"|"&amp;TEXT(ROW(),"0000"))</f>
        <v/>
      </c>
      <c r="J381" t="str">
        <f>IF(I381="","",COUNTIF($I$2:$I$501,"&lt;="&amp;I381))</f>
        <v/>
      </c>
      <c r="K381" s="3"/>
    </row>
    <row r="382" spans="5:11" x14ac:dyDescent="0.35">
      <c r="E382" s="3"/>
      <c r="F382" s="3"/>
      <c r="H382" s="3"/>
      <c r="I382" t="str">
        <f>IF($B382="","",LOWER($B382)&amp;"|"&amp;TEXT(ROW(),"0000"))</f>
        <v/>
      </c>
      <c r="J382" t="str">
        <f>IF(I382="","",COUNTIF($I$2:$I$501,"&lt;="&amp;I382))</f>
        <v/>
      </c>
      <c r="K382" s="3"/>
    </row>
    <row r="383" spans="5:11" x14ac:dyDescent="0.35">
      <c r="E383" s="3"/>
      <c r="F383" s="3"/>
      <c r="H383" s="3"/>
      <c r="I383" t="str">
        <f>IF($B383="","",LOWER($B383)&amp;"|"&amp;TEXT(ROW(),"0000"))</f>
        <v/>
      </c>
      <c r="J383" t="str">
        <f>IF(I383="","",COUNTIF($I$2:$I$501,"&lt;="&amp;I383))</f>
        <v/>
      </c>
      <c r="K383" s="3"/>
    </row>
    <row r="384" spans="5:11" x14ac:dyDescent="0.35">
      <c r="E384" s="3"/>
      <c r="F384" s="3"/>
      <c r="H384" s="3"/>
      <c r="I384" t="str">
        <f>IF($B384="","",LOWER($B384)&amp;"|"&amp;TEXT(ROW(),"0000"))</f>
        <v/>
      </c>
      <c r="J384" t="str">
        <f>IF(I384="","",COUNTIF($I$2:$I$501,"&lt;="&amp;I384))</f>
        <v/>
      </c>
      <c r="K384" s="3"/>
    </row>
    <row r="385" spans="5:11" x14ac:dyDescent="0.35">
      <c r="E385" s="3"/>
      <c r="F385" s="3"/>
      <c r="H385" s="3"/>
      <c r="I385" t="str">
        <f>IF($B385="","",LOWER($B385)&amp;"|"&amp;TEXT(ROW(),"0000"))</f>
        <v/>
      </c>
      <c r="J385" t="str">
        <f>IF(I385="","",COUNTIF($I$2:$I$501,"&lt;="&amp;I385))</f>
        <v/>
      </c>
      <c r="K385" s="3"/>
    </row>
    <row r="386" spans="5:11" x14ac:dyDescent="0.35">
      <c r="E386" s="3"/>
      <c r="F386" s="3"/>
      <c r="H386" s="3"/>
      <c r="I386" t="str">
        <f>IF($B386="","",LOWER($B386)&amp;"|"&amp;TEXT(ROW(),"0000"))</f>
        <v/>
      </c>
      <c r="J386" t="str">
        <f>IF(I386="","",COUNTIF($I$2:$I$501,"&lt;="&amp;I386))</f>
        <v/>
      </c>
      <c r="K386" s="3"/>
    </row>
    <row r="387" spans="5:11" x14ac:dyDescent="0.35">
      <c r="E387" s="3"/>
      <c r="F387" s="3"/>
      <c r="H387" s="3"/>
      <c r="I387" t="str">
        <f>IF($B387="","",LOWER($B387)&amp;"|"&amp;TEXT(ROW(),"0000"))</f>
        <v/>
      </c>
      <c r="J387" t="str">
        <f>IF(I387="","",COUNTIF($I$2:$I$501,"&lt;="&amp;I387))</f>
        <v/>
      </c>
      <c r="K387" s="3"/>
    </row>
    <row r="388" spans="5:11" x14ac:dyDescent="0.35">
      <c r="E388" s="3"/>
      <c r="F388" s="3"/>
      <c r="H388" s="3"/>
      <c r="I388" t="str">
        <f>IF($B388="","",LOWER($B388)&amp;"|"&amp;TEXT(ROW(),"0000"))</f>
        <v/>
      </c>
      <c r="J388" t="str">
        <f>IF(I388="","",COUNTIF($I$2:$I$501,"&lt;="&amp;I388))</f>
        <v/>
      </c>
      <c r="K388" s="3"/>
    </row>
    <row r="389" spans="5:11" x14ac:dyDescent="0.35">
      <c r="E389" s="3"/>
      <c r="F389" s="3"/>
      <c r="H389" s="3"/>
      <c r="I389" t="str">
        <f>IF($B389="","",LOWER($B389)&amp;"|"&amp;TEXT(ROW(),"0000"))</f>
        <v/>
      </c>
      <c r="J389" t="str">
        <f>IF(I389="","",COUNTIF($I$2:$I$501,"&lt;="&amp;I389))</f>
        <v/>
      </c>
      <c r="K389" s="3"/>
    </row>
    <row r="390" spans="5:11" x14ac:dyDescent="0.35">
      <c r="E390" s="3"/>
      <c r="F390" s="3"/>
      <c r="H390" s="3"/>
      <c r="I390" t="str">
        <f>IF($B390="","",LOWER($B390)&amp;"|"&amp;TEXT(ROW(),"0000"))</f>
        <v/>
      </c>
      <c r="J390" t="str">
        <f>IF(I390="","",COUNTIF($I$2:$I$501,"&lt;="&amp;I390))</f>
        <v/>
      </c>
      <c r="K390" s="3"/>
    </row>
    <row r="391" spans="5:11" x14ac:dyDescent="0.35">
      <c r="E391" s="3"/>
      <c r="F391" s="3"/>
      <c r="H391" s="3"/>
      <c r="I391" t="str">
        <f>IF($B391="","",LOWER($B391)&amp;"|"&amp;TEXT(ROW(),"0000"))</f>
        <v/>
      </c>
      <c r="J391" t="str">
        <f>IF(I391="","",COUNTIF($I$2:$I$501,"&lt;="&amp;I391))</f>
        <v/>
      </c>
      <c r="K391" s="3"/>
    </row>
    <row r="392" spans="5:11" x14ac:dyDescent="0.35">
      <c r="E392" s="3"/>
      <c r="F392" s="3"/>
      <c r="H392" s="3"/>
      <c r="I392" t="str">
        <f>IF($B392="","",LOWER($B392)&amp;"|"&amp;TEXT(ROW(),"0000"))</f>
        <v/>
      </c>
      <c r="J392" t="str">
        <f>IF(I392="","",COUNTIF($I$2:$I$501,"&lt;="&amp;I392))</f>
        <v/>
      </c>
      <c r="K392" s="3"/>
    </row>
    <row r="393" spans="5:11" x14ac:dyDescent="0.35">
      <c r="E393" s="3"/>
      <c r="F393" s="3"/>
      <c r="H393" s="3"/>
      <c r="I393" t="str">
        <f>IF($B393="","",LOWER($B393)&amp;"|"&amp;TEXT(ROW(),"0000"))</f>
        <v/>
      </c>
      <c r="J393" t="str">
        <f>IF(I393="","",COUNTIF($I$2:$I$501,"&lt;="&amp;I393))</f>
        <v/>
      </c>
      <c r="K393" s="3"/>
    </row>
    <row r="394" spans="5:11" x14ac:dyDescent="0.35">
      <c r="E394" s="3"/>
      <c r="F394" s="3"/>
      <c r="H394" s="3"/>
      <c r="I394" t="str">
        <f>IF($B394="","",LOWER($B394)&amp;"|"&amp;TEXT(ROW(),"0000"))</f>
        <v/>
      </c>
      <c r="J394" t="str">
        <f>IF(I394="","",COUNTIF($I$2:$I$501,"&lt;="&amp;I394))</f>
        <v/>
      </c>
      <c r="K394" s="3"/>
    </row>
    <row r="395" spans="5:11" x14ac:dyDescent="0.35">
      <c r="E395" s="3"/>
      <c r="F395" s="3"/>
      <c r="H395" s="3"/>
      <c r="I395" t="str">
        <f>IF($B395="","",LOWER($B395)&amp;"|"&amp;TEXT(ROW(),"0000"))</f>
        <v/>
      </c>
      <c r="J395" t="str">
        <f>IF(I395="","",COUNTIF($I$2:$I$501,"&lt;="&amp;I395))</f>
        <v/>
      </c>
      <c r="K395" s="3"/>
    </row>
    <row r="396" spans="5:11" x14ac:dyDescent="0.35">
      <c r="E396" s="3"/>
      <c r="F396" s="3"/>
      <c r="H396" s="3"/>
      <c r="I396" t="str">
        <f>IF($B396="","",LOWER($B396)&amp;"|"&amp;TEXT(ROW(),"0000"))</f>
        <v/>
      </c>
      <c r="J396" t="str">
        <f>IF(I396="","",COUNTIF($I$2:$I$501,"&lt;="&amp;I396))</f>
        <v/>
      </c>
      <c r="K396" s="3"/>
    </row>
    <row r="397" spans="5:11" x14ac:dyDescent="0.35">
      <c r="E397" s="3"/>
      <c r="F397" s="3"/>
      <c r="H397" s="3"/>
      <c r="I397" t="str">
        <f>IF($B397="","",LOWER($B397)&amp;"|"&amp;TEXT(ROW(),"0000"))</f>
        <v/>
      </c>
      <c r="J397" t="str">
        <f>IF(I397="","",COUNTIF($I$2:$I$501,"&lt;="&amp;I397))</f>
        <v/>
      </c>
      <c r="K397" s="3"/>
    </row>
    <row r="398" spans="5:11" x14ac:dyDescent="0.35">
      <c r="E398" s="3"/>
      <c r="F398" s="3"/>
      <c r="H398" s="3"/>
      <c r="I398" t="str">
        <f>IF($B398="","",LOWER($B398)&amp;"|"&amp;TEXT(ROW(),"0000"))</f>
        <v/>
      </c>
      <c r="J398" t="str">
        <f>IF(I398="","",COUNTIF($I$2:$I$501,"&lt;="&amp;I398))</f>
        <v/>
      </c>
      <c r="K398" s="3"/>
    </row>
    <row r="399" spans="5:11" x14ac:dyDescent="0.35">
      <c r="E399" s="3"/>
      <c r="F399" s="3"/>
      <c r="H399" s="3"/>
      <c r="I399" t="str">
        <f>IF($B399="","",LOWER($B399)&amp;"|"&amp;TEXT(ROW(),"0000"))</f>
        <v/>
      </c>
      <c r="J399" t="str">
        <f>IF(I399="","",COUNTIF($I$2:$I$501,"&lt;="&amp;I399))</f>
        <v/>
      </c>
      <c r="K399" s="3"/>
    </row>
    <row r="400" spans="5:11" x14ac:dyDescent="0.35">
      <c r="E400" s="3"/>
      <c r="F400" s="3"/>
      <c r="H400" s="3"/>
      <c r="I400" t="str">
        <f>IF($B400="","",LOWER($B400)&amp;"|"&amp;TEXT(ROW(),"0000"))</f>
        <v/>
      </c>
      <c r="J400" t="str">
        <f>IF(I400="","",COUNTIF($I$2:$I$501,"&lt;="&amp;I400))</f>
        <v/>
      </c>
      <c r="K400" s="3"/>
    </row>
    <row r="401" spans="5:11" x14ac:dyDescent="0.35">
      <c r="E401" s="3"/>
      <c r="F401" s="3"/>
      <c r="H401" s="3"/>
      <c r="I401" t="str">
        <f>IF($B401="","",LOWER($B401)&amp;"|"&amp;TEXT(ROW(),"0000"))</f>
        <v/>
      </c>
      <c r="J401" t="str">
        <f>IF(I401="","",COUNTIF($I$2:$I$501,"&lt;="&amp;I401))</f>
        <v/>
      </c>
      <c r="K401" s="3"/>
    </row>
    <row r="402" spans="5:11" x14ac:dyDescent="0.35">
      <c r="E402" s="3"/>
      <c r="F402" s="3"/>
      <c r="H402" s="3"/>
      <c r="I402" t="str">
        <f>IF($B402="","",LOWER($B402)&amp;"|"&amp;TEXT(ROW(),"0000"))</f>
        <v/>
      </c>
      <c r="J402" t="str">
        <f>IF(I402="","",COUNTIF($I$2:$I$501,"&lt;="&amp;I402))</f>
        <v/>
      </c>
      <c r="K402" s="3"/>
    </row>
    <row r="403" spans="5:11" x14ac:dyDescent="0.35">
      <c r="E403" s="3"/>
      <c r="F403" s="3"/>
      <c r="H403" s="3"/>
      <c r="I403" t="str">
        <f>IF($B403="","",LOWER($B403)&amp;"|"&amp;TEXT(ROW(),"0000"))</f>
        <v/>
      </c>
      <c r="J403" t="str">
        <f>IF(I403="","",COUNTIF($I$2:$I$501,"&lt;="&amp;I403))</f>
        <v/>
      </c>
      <c r="K403" s="3"/>
    </row>
    <row r="404" spans="5:11" x14ac:dyDescent="0.35">
      <c r="E404" s="3"/>
      <c r="F404" s="3"/>
      <c r="H404" s="3"/>
      <c r="I404" t="str">
        <f>IF($B404="","",LOWER($B404)&amp;"|"&amp;TEXT(ROW(),"0000"))</f>
        <v/>
      </c>
      <c r="J404" t="str">
        <f>IF(I404="","",COUNTIF($I$2:$I$501,"&lt;="&amp;I404))</f>
        <v/>
      </c>
      <c r="K404" s="3"/>
    </row>
    <row r="405" spans="5:11" x14ac:dyDescent="0.35">
      <c r="E405" s="3"/>
      <c r="F405" s="3"/>
      <c r="H405" s="3"/>
      <c r="I405" t="str">
        <f>IF($B405="","",LOWER($B405)&amp;"|"&amp;TEXT(ROW(),"0000"))</f>
        <v/>
      </c>
      <c r="J405" t="str">
        <f>IF(I405="","",COUNTIF($I$2:$I$501,"&lt;="&amp;I405))</f>
        <v/>
      </c>
      <c r="K405" s="3"/>
    </row>
    <row r="406" spans="5:11" x14ac:dyDescent="0.35">
      <c r="E406" s="3"/>
      <c r="F406" s="3"/>
      <c r="H406" s="3"/>
      <c r="I406" t="str">
        <f>IF($B406="","",LOWER($B406)&amp;"|"&amp;TEXT(ROW(),"0000"))</f>
        <v/>
      </c>
      <c r="J406" t="str">
        <f>IF(I406="","",COUNTIF($I$2:$I$501,"&lt;="&amp;I406))</f>
        <v/>
      </c>
      <c r="K406" s="3"/>
    </row>
    <row r="407" spans="5:11" x14ac:dyDescent="0.35">
      <c r="E407" s="3"/>
      <c r="F407" s="3"/>
      <c r="H407" s="3"/>
      <c r="I407" t="str">
        <f>IF($B407="","",LOWER($B407)&amp;"|"&amp;TEXT(ROW(),"0000"))</f>
        <v/>
      </c>
      <c r="J407" t="str">
        <f>IF(I407="","",COUNTIF($I$2:$I$501,"&lt;="&amp;I407))</f>
        <v/>
      </c>
      <c r="K407" s="3"/>
    </row>
    <row r="408" spans="5:11" x14ac:dyDescent="0.35">
      <c r="E408" s="3"/>
      <c r="F408" s="3"/>
      <c r="H408" s="3"/>
      <c r="I408" t="str">
        <f>IF($B408="","",LOWER($B408)&amp;"|"&amp;TEXT(ROW(),"0000"))</f>
        <v/>
      </c>
      <c r="J408" t="str">
        <f>IF(I408="","",COUNTIF($I$2:$I$501,"&lt;="&amp;I408))</f>
        <v/>
      </c>
      <c r="K408" s="3"/>
    </row>
    <row r="409" spans="5:11" x14ac:dyDescent="0.35">
      <c r="E409" s="3"/>
      <c r="F409" s="3"/>
      <c r="H409" s="3"/>
      <c r="I409" t="str">
        <f>IF($B409="","",LOWER($B409)&amp;"|"&amp;TEXT(ROW(),"0000"))</f>
        <v/>
      </c>
      <c r="J409" t="str">
        <f>IF(I409="","",COUNTIF($I$2:$I$501,"&lt;="&amp;I409))</f>
        <v/>
      </c>
      <c r="K409" s="3"/>
    </row>
    <row r="410" spans="5:11" x14ac:dyDescent="0.35">
      <c r="E410" s="3"/>
      <c r="F410" s="3"/>
      <c r="H410" s="3"/>
      <c r="I410" t="str">
        <f>IF($B410="","",LOWER($B410)&amp;"|"&amp;TEXT(ROW(),"0000"))</f>
        <v/>
      </c>
      <c r="J410" t="str">
        <f>IF(I410="","",COUNTIF($I$2:$I$501,"&lt;="&amp;I410))</f>
        <v/>
      </c>
      <c r="K410" s="3"/>
    </row>
    <row r="411" spans="5:11" x14ac:dyDescent="0.35">
      <c r="E411" s="3"/>
      <c r="F411" s="3"/>
      <c r="H411" s="3"/>
      <c r="I411" t="str">
        <f>IF($B411="","",LOWER($B411)&amp;"|"&amp;TEXT(ROW(),"0000"))</f>
        <v/>
      </c>
      <c r="J411" t="str">
        <f>IF(I411="","",COUNTIF($I$2:$I$501,"&lt;="&amp;I411))</f>
        <v/>
      </c>
      <c r="K411" s="3"/>
    </row>
    <row r="412" spans="5:11" x14ac:dyDescent="0.35">
      <c r="E412" s="3"/>
      <c r="F412" s="3"/>
      <c r="H412" s="3"/>
      <c r="I412" t="str">
        <f>IF($B412="","",LOWER($B412)&amp;"|"&amp;TEXT(ROW(),"0000"))</f>
        <v/>
      </c>
      <c r="J412" t="str">
        <f>IF(I412="","",COUNTIF($I$2:$I$501,"&lt;="&amp;I412))</f>
        <v/>
      </c>
      <c r="K412" s="3"/>
    </row>
    <row r="413" spans="5:11" x14ac:dyDescent="0.35">
      <c r="E413" s="3"/>
      <c r="F413" s="3"/>
      <c r="H413" s="3"/>
      <c r="I413" t="str">
        <f>IF($B413="","",LOWER($B413)&amp;"|"&amp;TEXT(ROW(),"0000"))</f>
        <v/>
      </c>
      <c r="J413" t="str">
        <f>IF(I413="","",COUNTIF($I$2:$I$501,"&lt;="&amp;I413))</f>
        <v/>
      </c>
      <c r="K413" s="3"/>
    </row>
    <row r="414" spans="5:11" x14ac:dyDescent="0.35">
      <c r="E414" s="3"/>
      <c r="F414" s="3"/>
      <c r="H414" s="3"/>
      <c r="I414" t="str">
        <f>IF($B414="","",LOWER($B414)&amp;"|"&amp;TEXT(ROW(),"0000"))</f>
        <v/>
      </c>
      <c r="J414" t="str">
        <f>IF(I414="","",COUNTIF($I$2:$I$501,"&lt;="&amp;I414))</f>
        <v/>
      </c>
      <c r="K414" s="3"/>
    </row>
    <row r="415" spans="5:11" x14ac:dyDescent="0.35">
      <c r="E415" s="3"/>
      <c r="F415" s="3"/>
      <c r="H415" s="3"/>
      <c r="I415" t="str">
        <f>IF($B415="","",LOWER($B415)&amp;"|"&amp;TEXT(ROW(),"0000"))</f>
        <v/>
      </c>
      <c r="J415" t="str">
        <f>IF(I415="","",COUNTIF($I$2:$I$501,"&lt;="&amp;I415))</f>
        <v/>
      </c>
      <c r="K415" s="3"/>
    </row>
    <row r="416" spans="5:11" x14ac:dyDescent="0.35">
      <c r="E416" s="3"/>
      <c r="F416" s="3"/>
      <c r="H416" s="3"/>
      <c r="I416" t="str">
        <f>IF($B416="","",LOWER($B416)&amp;"|"&amp;TEXT(ROW(),"0000"))</f>
        <v/>
      </c>
      <c r="J416" t="str">
        <f>IF(I416="","",COUNTIF($I$2:$I$501,"&lt;="&amp;I416))</f>
        <v/>
      </c>
      <c r="K416" s="3"/>
    </row>
    <row r="417" spans="5:11" x14ac:dyDescent="0.35">
      <c r="E417" s="3"/>
      <c r="F417" s="3"/>
      <c r="H417" s="3"/>
      <c r="I417" t="str">
        <f>IF($B417="","",LOWER($B417)&amp;"|"&amp;TEXT(ROW(),"0000"))</f>
        <v/>
      </c>
      <c r="J417" t="str">
        <f>IF(I417="","",COUNTIF($I$2:$I$501,"&lt;="&amp;I417))</f>
        <v/>
      </c>
      <c r="K417" s="3"/>
    </row>
    <row r="418" spans="5:11" x14ac:dyDescent="0.35">
      <c r="E418" s="3"/>
      <c r="F418" s="3"/>
      <c r="H418" s="3"/>
      <c r="I418" t="str">
        <f>IF($B418="","",LOWER($B418)&amp;"|"&amp;TEXT(ROW(),"0000"))</f>
        <v/>
      </c>
      <c r="J418" t="str">
        <f>IF(I418="","",COUNTIF($I$2:$I$501,"&lt;="&amp;I418))</f>
        <v/>
      </c>
      <c r="K418" s="3"/>
    </row>
    <row r="419" spans="5:11" x14ac:dyDescent="0.35">
      <c r="E419" s="3"/>
      <c r="F419" s="3"/>
      <c r="H419" s="3"/>
      <c r="I419" t="str">
        <f>IF($B419="","",LOWER($B419)&amp;"|"&amp;TEXT(ROW(),"0000"))</f>
        <v/>
      </c>
      <c r="J419" t="str">
        <f>IF(I419="","",COUNTIF($I$2:$I$501,"&lt;="&amp;I419))</f>
        <v/>
      </c>
      <c r="K419" s="3"/>
    </row>
    <row r="420" spans="5:11" x14ac:dyDescent="0.35">
      <c r="E420" s="3"/>
      <c r="F420" s="3"/>
      <c r="H420" s="3"/>
      <c r="I420" t="str">
        <f>IF($B420="","",LOWER($B420)&amp;"|"&amp;TEXT(ROW(),"0000"))</f>
        <v/>
      </c>
      <c r="J420" t="str">
        <f>IF(I420="","",COUNTIF($I$2:$I$501,"&lt;="&amp;I420))</f>
        <v/>
      </c>
      <c r="K420" s="3"/>
    </row>
    <row r="421" spans="5:11" x14ac:dyDescent="0.35">
      <c r="E421" s="3"/>
      <c r="F421" s="3"/>
      <c r="H421" s="3"/>
      <c r="I421" t="str">
        <f>IF($B421="","",LOWER($B421)&amp;"|"&amp;TEXT(ROW(),"0000"))</f>
        <v/>
      </c>
      <c r="J421" t="str">
        <f>IF(I421="","",COUNTIF($I$2:$I$501,"&lt;="&amp;I421))</f>
        <v/>
      </c>
      <c r="K421" s="3"/>
    </row>
    <row r="422" spans="5:11" x14ac:dyDescent="0.35">
      <c r="E422" s="3"/>
      <c r="F422" s="3"/>
      <c r="H422" s="3"/>
      <c r="I422" t="str">
        <f>IF($B422="","",LOWER($B422)&amp;"|"&amp;TEXT(ROW(),"0000"))</f>
        <v/>
      </c>
      <c r="J422" t="str">
        <f>IF(I422="","",COUNTIF($I$2:$I$501,"&lt;="&amp;I422))</f>
        <v/>
      </c>
      <c r="K422" s="3"/>
    </row>
    <row r="423" spans="5:11" x14ac:dyDescent="0.35">
      <c r="E423" s="3"/>
      <c r="F423" s="3"/>
      <c r="H423" s="3"/>
      <c r="I423" t="str">
        <f>IF($B423="","",LOWER($B423)&amp;"|"&amp;TEXT(ROW(),"0000"))</f>
        <v/>
      </c>
      <c r="J423" t="str">
        <f>IF(I423="","",COUNTIF($I$2:$I$501,"&lt;="&amp;I423))</f>
        <v/>
      </c>
      <c r="K423" s="3"/>
    </row>
    <row r="424" spans="5:11" x14ac:dyDescent="0.35">
      <c r="E424" s="3"/>
      <c r="F424" s="3"/>
      <c r="H424" s="3"/>
      <c r="I424" t="str">
        <f>IF($B424="","",LOWER($B424)&amp;"|"&amp;TEXT(ROW(),"0000"))</f>
        <v/>
      </c>
      <c r="J424" t="str">
        <f>IF(I424="","",COUNTIF($I$2:$I$501,"&lt;="&amp;I424))</f>
        <v/>
      </c>
      <c r="K424" s="3"/>
    </row>
    <row r="425" spans="5:11" x14ac:dyDescent="0.35">
      <c r="E425" s="3"/>
      <c r="F425" s="3"/>
      <c r="H425" s="3"/>
      <c r="I425" t="str">
        <f>IF($B425="","",LOWER($B425)&amp;"|"&amp;TEXT(ROW(),"0000"))</f>
        <v/>
      </c>
      <c r="J425" t="str">
        <f>IF(I425="","",COUNTIF($I$2:$I$501,"&lt;="&amp;I425))</f>
        <v/>
      </c>
      <c r="K425" s="3"/>
    </row>
    <row r="426" spans="5:11" x14ac:dyDescent="0.35">
      <c r="E426" s="3"/>
      <c r="F426" s="3"/>
      <c r="H426" s="3"/>
      <c r="I426" t="str">
        <f>IF($B426="","",LOWER($B426)&amp;"|"&amp;TEXT(ROW(),"0000"))</f>
        <v/>
      </c>
      <c r="J426" t="str">
        <f>IF(I426="","",COUNTIF($I$2:$I$501,"&lt;="&amp;I426))</f>
        <v/>
      </c>
      <c r="K426" s="3"/>
    </row>
    <row r="427" spans="5:11" x14ac:dyDescent="0.35">
      <c r="E427" s="3"/>
      <c r="F427" s="3"/>
      <c r="H427" s="3"/>
      <c r="I427" t="str">
        <f>IF($B427="","",LOWER($B427)&amp;"|"&amp;TEXT(ROW(),"0000"))</f>
        <v/>
      </c>
      <c r="J427" t="str">
        <f>IF(I427="","",COUNTIF($I$2:$I$501,"&lt;="&amp;I427))</f>
        <v/>
      </c>
      <c r="K427" s="3"/>
    </row>
    <row r="428" spans="5:11" x14ac:dyDescent="0.35">
      <c r="E428" s="3"/>
      <c r="F428" s="3"/>
      <c r="H428" s="3"/>
      <c r="I428" t="str">
        <f>IF($B428="","",LOWER($B428)&amp;"|"&amp;TEXT(ROW(),"0000"))</f>
        <v/>
      </c>
      <c r="J428" t="str">
        <f>IF(I428="","",COUNTIF($I$2:$I$501,"&lt;="&amp;I428))</f>
        <v/>
      </c>
      <c r="K428" s="3"/>
    </row>
    <row r="429" spans="5:11" x14ac:dyDescent="0.35">
      <c r="E429" s="3"/>
      <c r="F429" s="3"/>
      <c r="H429" s="3"/>
      <c r="I429" t="str">
        <f>IF($B429="","",LOWER($B429)&amp;"|"&amp;TEXT(ROW(),"0000"))</f>
        <v/>
      </c>
      <c r="J429" t="str">
        <f>IF(I429="","",COUNTIF($I$2:$I$501,"&lt;="&amp;I429))</f>
        <v/>
      </c>
      <c r="K429" s="3"/>
    </row>
    <row r="430" spans="5:11" x14ac:dyDescent="0.35">
      <c r="E430" s="3"/>
      <c r="F430" s="3"/>
      <c r="H430" s="3"/>
      <c r="I430" t="str">
        <f>IF($B430="","",LOWER($B430)&amp;"|"&amp;TEXT(ROW(),"0000"))</f>
        <v/>
      </c>
      <c r="J430" t="str">
        <f>IF(I430="","",COUNTIF($I$2:$I$501,"&lt;="&amp;I430))</f>
        <v/>
      </c>
      <c r="K430" s="3"/>
    </row>
    <row r="431" spans="5:11" x14ac:dyDescent="0.35">
      <c r="E431" s="3"/>
      <c r="F431" s="3"/>
      <c r="H431" s="3"/>
      <c r="I431" t="str">
        <f>IF($B431="","",LOWER($B431)&amp;"|"&amp;TEXT(ROW(),"0000"))</f>
        <v/>
      </c>
      <c r="J431" t="str">
        <f>IF(I431="","",COUNTIF($I$2:$I$501,"&lt;="&amp;I431))</f>
        <v/>
      </c>
      <c r="K431" s="3"/>
    </row>
    <row r="432" spans="5:11" x14ac:dyDescent="0.35">
      <c r="E432" s="3"/>
      <c r="F432" s="3"/>
      <c r="H432" s="3"/>
      <c r="I432" t="str">
        <f>IF($B432="","",LOWER($B432)&amp;"|"&amp;TEXT(ROW(),"0000"))</f>
        <v/>
      </c>
      <c r="J432" t="str">
        <f>IF(I432="","",COUNTIF($I$2:$I$501,"&lt;="&amp;I432))</f>
        <v/>
      </c>
      <c r="K432" s="3"/>
    </row>
    <row r="433" spans="5:11" x14ac:dyDescent="0.35">
      <c r="E433" s="3"/>
      <c r="F433" s="3"/>
      <c r="H433" s="3"/>
      <c r="I433" t="str">
        <f>IF($B433="","",LOWER($B433)&amp;"|"&amp;TEXT(ROW(),"0000"))</f>
        <v/>
      </c>
      <c r="J433" t="str">
        <f>IF(I433="","",COUNTIF($I$2:$I$501,"&lt;="&amp;I433))</f>
        <v/>
      </c>
      <c r="K433" s="3"/>
    </row>
    <row r="434" spans="5:11" x14ac:dyDescent="0.35">
      <c r="E434" s="3"/>
      <c r="F434" s="3"/>
      <c r="H434" s="3"/>
      <c r="I434" t="str">
        <f>IF($B434="","",LOWER($B434)&amp;"|"&amp;TEXT(ROW(),"0000"))</f>
        <v/>
      </c>
      <c r="J434" t="str">
        <f>IF(I434="","",COUNTIF($I$2:$I$501,"&lt;="&amp;I434))</f>
        <v/>
      </c>
      <c r="K434" s="3"/>
    </row>
    <row r="435" spans="5:11" x14ac:dyDescent="0.35">
      <c r="E435" s="3"/>
      <c r="F435" s="3"/>
      <c r="H435" s="3"/>
      <c r="I435" t="str">
        <f>IF($B435="","",LOWER($B435)&amp;"|"&amp;TEXT(ROW(),"0000"))</f>
        <v/>
      </c>
      <c r="J435" t="str">
        <f>IF(I435="","",COUNTIF($I$2:$I$501,"&lt;="&amp;I435))</f>
        <v/>
      </c>
      <c r="K435" s="3"/>
    </row>
    <row r="436" spans="5:11" x14ac:dyDescent="0.35">
      <c r="E436" s="3"/>
      <c r="F436" s="3"/>
      <c r="H436" s="3"/>
      <c r="I436" t="str">
        <f>IF($B436="","",LOWER($B436)&amp;"|"&amp;TEXT(ROW(),"0000"))</f>
        <v/>
      </c>
      <c r="J436" t="str">
        <f>IF(I436="","",COUNTIF($I$2:$I$501,"&lt;="&amp;I436))</f>
        <v/>
      </c>
      <c r="K436" s="3"/>
    </row>
    <row r="437" spans="5:11" x14ac:dyDescent="0.35">
      <c r="E437" s="3"/>
      <c r="F437" s="3"/>
      <c r="H437" s="3"/>
      <c r="I437" t="str">
        <f>IF($B437="","",LOWER($B437)&amp;"|"&amp;TEXT(ROW(),"0000"))</f>
        <v/>
      </c>
      <c r="J437" t="str">
        <f>IF(I437="","",COUNTIF($I$2:$I$501,"&lt;="&amp;I437))</f>
        <v/>
      </c>
      <c r="K437" s="3"/>
    </row>
    <row r="438" spans="5:11" x14ac:dyDescent="0.35">
      <c r="E438" s="3"/>
      <c r="F438" s="3"/>
      <c r="H438" s="3"/>
      <c r="I438" t="str">
        <f>IF($B438="","",LOWER($B438)&amp;"|"&amp;TEXT(ROW(),"0000"))</f>
        <v/>
      </c>
      <c r="J438" t="str">
        <f>IF(I438="","",COUNTIF($I$2:$I$501,"&lt;="&amp;I438))</f>
        <v/>
      </c>
      <c r="K438" s="3"/>
    </row>
    <row r="439" spans="5:11" x14ac:dyDescent="0.35">
      <c r="E439" s="3"/>
      <c r="F439" s="3"/>
      <c r="H439" s="3"/>
      <c r="I439" t="str">
        <f>IF($B439="","",LOWER($B439)&amp;"|"&amp;TEXT(ROW(),"0000"))</f>
        <v/>
      </c>
      <c r="J439" t="str">
        <f>IF(I439="","",COUNTIF($I$2:$I$501,"&lt;="&amp;I439))</f>
        <v/>
      </c>
      <c r="K439" s="3"/>
    </row>
    <row r="440" spans="5:11" x14ac:dyDescent="0.35">
      <c r="E440" s="3"/>
      <c r="F440" s="3"/>
      <c r="H440" s="3"/>
      <c r="I440" t="str">
        <f>IF($B440="","",LOWER($B440)&amp;"|"&amp;TEXT(ROW(),"0000"))</f>
        <v/>
      </c>
      <c r="J440" t="str">
        <f>IF(I440="","",COUNTIF($I$2:$I$501,"&lt;="&amp;I440))</f>
        <v/>
      </c>
      <c r="K440" s="3"/>
    </row>
    <row r="441" spans="5:11" x14ac:dyDescent="0.35">
      <c r="E441" s="3"/>
      <c r="F441" s="3"/>
      <c r="H441" s="3"/>
      <c r="I441" t="str">
        <f>IF($B441="","",LOWER($B441)&amp;"|"&amp;TEXT(ROW(),"0000"))</f>
        <v/>
      </c>
      <c r="J441" t="str">
        <f>IF(I441="","",COUNTIF($I$2:$I$501,"&lt;="&amp;I441))</f>
        <v/>
      </c>
      <c r="K441" s="3"/>
    </row>
    <row r="442" spans="5:11" x14ac:dyDescent="0.35">
      <c r="E442" s="3"/>
      <c r="F442" s="3"/>
      <c r="H442" s="3"/>
      <c r="I442" t="str">
        <f>IF($B442="","",LOWER($B442)&amp;"|"&amp;TEXT(ROW(),"0000"))</f>
        <v/>
      </c>
      <c r="J442" t="str">
        <f>IF(I442="","",COUNTIF($I$2:$I$501,"&lt;="&amp;I442))</f>
        <v/>
      </c>
      <c r="K442" s="3"/>
    </row>
    <row r="443" spans="5:11" x14ac:dyDescent="0.35">
      <c r="E443" s="3"/>
      <c r="F443" s="3"/>
      <c r="H443" s="3"/>
      <c r="I443" t="str">
        <f>IF($B443="","",LOWER($B443)&amp;"|"&amp;TEXT(ROW(),"0000"))</f>
        <v/>
      </c>
      <c r="J443" t="str">
        <f>IF(I443="","",COUNTIF($I$2:$I$501,"&lt;="&amp;I443))</f>
        <v/>
      </c>
      <c r="K443" s="3"/>
    </row>
    <row r="444" spans="5:11" x14ac:dyDescent="0.35">
      <c r="E444" s="3"/>
      <c r="F444" s="3"/>
      <c r="H444" s="3"/>
      <c r="I444" t="str">
        <f>IF($B444="","",LOWER($B444)&amp;"|"&amp;TEXT(ROW(),"0000"))</f>
        <v/>
      </c>
      <c r="J444" t="str">
        <f>IF(I444="","",COUNTIF($I$2:$I$501,"&lt;="&amp;I444))</f>
        <v/>
      </c>
      <c r="K444" s="3"/>
    </row>
    <row r="445" spans="5:11" x14ac:dyDescent="0.35">
      <c r="E445" s="3"/>
      <c r="F445" s="3"/>
      <c r="H445" s="3"/>
      <c r="I445" t="str">
        <f>IF($B445="","",LOWER($B445)&amp;"|"&amp;TEXT(ROW(),"0000"))</f>
        <v/>
      </c>
      <c r="J445" t="str">
        <f>IF(I445="","",COUNTIF($I$2:$I$501,"&lt;="&amp;I445))</f>
        <v/>
      </c>
      <c r="K445" s="3"/>
    </row>
    <row r="446" spans="5:11" x14ac:dyDescent="0.35">
      <c r="E446" s="3"/>
      <c r="F446" s="3"/>
      <c r="H446" s="3"/>
      <c r="I446" t="str">
        <f>IF($B446="","",LOWER($B446)&amp;"|"&amp;TEXT(ROW(),"0000"))</f>
        <v/>
      </c>
      <c r="J446" t="str">
        <f>IF(I446="","",COUNTIF($I$2:$I$501,"&lt;="&amp;I446))</f>
        <v/>
      </c>
      <c r="K446" s="3"/>
    </row>
    <row r="447" spans="5:11" x14ac:dyDescent="0.35">
      <c r="E447" s="3"/>
      <c r="F447" s="3"/>
      <c r="H447" s="3"/>
      <c r="I447" t="str">
        <f>IF($B447="","",LOWER($B447)&amp;"|"&amp;TEXT(ROW(),"0000"))</f>
        <v/>
      </c>
      <c r="J447" t="str">
        <f>IF(I447="","",COUNTIF($I$2:$I$501,"&lt;="&amp;I447))</f>
        <v/>
      </c>
      <c r="K447" s="3"/>
    </row>
    <row r="448" spans="5:11" x14ac:dyDescent="0.35">
      <c r="E448" s="3"/>
      <c r="F448" s="3"/>
      <c r="H448" s="3"/>
      <c r="I448" t="str">
        <f>IF($B448="","",LOWER($B448)&amp;"|"&amp;TEXT(ROW(),"0000"))</f>
        <v/>
      </c>
      <c r="J448" t="str">
        <f>IF(I448="","",COUNTIF($I$2:$I$501,"&lt;="&amp;I448))</f>
        <v/>
      </c>
      <c r="K448" s="3"/>
    </row>
    <row r="449" spans="5:11" x14ac:dyDescent="0.35">
      <c r="E449" s="3"/>
      <c r="F449" s="3"/>
      <c r="H449" s="3"/>
      <c r="I449" t="str">
        <f>IF($B449="","",LOWER($B449)&amp;"|"&amp;TEXT(ROW(),"0000"))</f>
        <v/>
      </c>
      <c r="J449" t="str">
        <f>IF(I449="","",COUNTIF($I$2:$I$501,"&lt;="&amp;I449))</f>
        <v/>
      </c>
      <c r="K449" s="3"/>
    </row>
    <row r="450" spans="5:11" x14ac:dyDescent="0.35">
      <c r="E450" s="3"/>
      <c r="F450" s="3"/>
      <c r="H450" s="3"/>
      <c r="I450" t="str">
        <f>IF($B450="","",LOWER($B450)&amp;"|"&amp;TEXT(ROW(),"0000"))</f>
        <v/>
      </c>
      <c r="J450" t="str">
        <f>IF(I450="","",COUNTIF($I$2:$I$501,"&lt;="&amp;I450))</f>
        <v/>
      </c>
      <c r="K450" s="3"/>
    </row>
    <row r="451" spans="5:11" x14ac:dyDescent="0.35">
      <c r="E451" s="3"/>
      <c r="F451" s="3"/>
      <c r="H451" s="3"/>
      <c r="I451" t="str">
        <f>IF($B451="","",LOWER($B451)&amp;"|"&amp;TEXT(ROW(),"0000"))</f>
        <v/>
      </c>
      <c r="J451" t="str">
        <f>IF(I451="","",COUNTIF($I$2:$I$501,"&lt;="&amp;I451))</f>
        <v/>
      </c>
      <c r="K451" s="3"/>
    </row>
    <row r="452" spans="5:11" x14ac:dyDescent="0.35">
      <c r="E452" s="3"/>
      <c r="F452" s="3"/>
      <c r="H452" s="3"/>
      <c r="I452" t="str">
        <f>IF($B452="","",LOWER($B452)&amp;"|"&amp;TEXT(ROW(),"0000"))</f>
        <v/>
      </c>
      <c r="J452" t="str">
        <f>IF(I452="","",COUNTIF($I$2:$I$501,"&lt;="&amp;I452))</f>
        <v/>
      </c>
      <c r="K452" s="3"/>
    </row>
    <row r="453" spans="5:11" x14ac:dyDescent="0.35">
      <c r="E453" s="3"/>
      <c r="F453" s="3"/>
      <c r="H453" s="3"/>
      <c r="I453" t="str">
        <f>IF($B453="","",LOWER($B453)&amp;"|"&amp;TEXT(ROW(),"0000"))</f>
        <v/>
      </c>
      <c r="J453" t="str">
        <f>IF(I453="","",COUNTIF($I$2:$I$501,"&lt;="&amp;I453))</f>
        <v/>
      </c>
      <c r="K453" s="3"/>
    </row>
    <row r="454" spans="5:11" x14ac:dyDescent="0.35">
      <c r="E454" s="3"/>
      <c r="F454" s="3"/>
      <c r="H454" s="3"/>
      <c r="I454" t="str">
        <f>IF($B454="","",LOWER($B454)&amp;"|"&amp;TEXT(ROW(),"0000"))</f>
        <v/>
      </c>
      <c r="J454" t="str">
        <f>IF(I454="","",COUNTIF($I$2:$I$501,"&lt;="&amp;I454))</f>
        <v/>
      </c>
      <c r="K454" s="3"/>
    </row>
    <row r="455" spans="5:11" x14ac:dyDescent="0.35">
      <c r="E455" s="3"/>
      <c r="F455" s="3"/>
      <c r="H455" s="3"/>
      <c r="I455" t="str">
        <f>IF($B455="","",LOWER($B455)&amp;"|"&amp;TEXT(ROW(),"0000"))</f>
        <v/>
      </c>
      <c r="J455" t="str">
        <f>IF(I455="","",COUNTIF($I$2:$I$501,"&lt;="&amp;I455))</f>
        <v/>
      </c>
      <c r="K455" s="3"/>
    </row>
    <row r="456" spans="5:11" x14ac:dyDescent="0.35">
      <c r="E456" s="3"/>
      <c r="F456" s="3"/>
      <c r="H456" s="3"/>
      <c r="I456" t="str">
        <f>IF($B456="","",LOWER($B456)&amp;"|"&amp;TEXT(ROW(),"0000"))</f>
        <v/>
      </c>
      <c r="J456" t="str">
        <f>IF(I456="","",COUNTIF($I$2:$I$501,"&lt;="&amp;I456))</f>
        <v/>
      </c>
      <c r="K456" s="3"/>
    </row>
    <row r="457" spans="5:11" x14ac:dyDescent="0.35">
      <c r="E457" s="3"/>
      <c r="F457" s="3"/>
      <c r="H457" s="3"/>
      <c r="I457" t="str">
        <f>IF($B457="","",LOWER($B457)&amp;"|"&amp;TEXT(ROW(),"0000"))</f>
        <v/>
      </c>
      <c r="J457" t="str">
        <f>IF(I457="","",COUNTIF($I$2:$I$501,"&lt;="&amp;I457))</f>
        <v/>
      </c>
      <c r="K457" s="3"/>
    </row>
    <row r="458" spans="5:11" x14ac:dyDescent="0.35">
      <c r="E458" s="3"/>
      <c r="F458" s="3"/>
      <c r="H458" s="3"/>
      <c r="I458" t="str">
        <f>IF($B458="","",LOWER($B458)&amp;"|"&amp;TEXT(ROW(),"0000"))</f>
        <v/>
      </c>
      <c r="J458" t="str">
        <f>IF(I458="","",COUNTIF($I$2:$I$501,"&lt;="&amp;I458))</f>
        <v/>
      </c>
      <c r="K458" s="3"/>
    </row>
    <row r="459" spans="5:11" x14ac:dyDescent="0.35">
      <c r="E459" s="3"/>
      <c r="F459" s="3"/>
      <c r="H459" s="3"/>
      <c r="I459" t="str">
        <f>IF($B459="","",LOWER($B459)&amp;"|"&amp;TEXT(ROW(),"0000"))</f>
        <v/>
      </c>
      <c r="J459" t="str">
        <f>IF(I459="","",COUNTIF($I$2:$I$501,"&lt;="&amp;I459))</f>
        <v/>
      </c>
      <c r="K459" s="3"/>
    </row>
    <row r="460" spans="5:11" x14ac:dyDescent="0.35">
      <c r="E460" s="3"/>
      <c r="F460" s="3"/>
      <c r="H460" s="3"/>
      <c r="I460" t="str">
        <f>IF($B460="","",LOWER($B460)&amp;"|"&amp;TEXT(ROW(),"0000"))</f>
        <v/>
      </c>
      <c r="J460" t="str">
        <f>IF(I460="","",COUNTIF($I$2:$I$501,"&lt;="&amp;I460))</f>
        <v/>
      </c>
      <c r="K460" s="3"/>
    </row>
    <row r="461" spans="5:11" x14ac:dyDescent="0.35">
      <c r="E461" s="3"/>
      <c r="F461" s="3"/>
      <c r="H461" s="3"/>
      <c r="I461" t="str">
        <f>IF($B461="","",LOWER($B461)&amp;"|"&amp;TEXT(ROW(),"0000"))</f>
        <v/>
      </c>
      <c r="J461" t="str">
        <f>IF(I461="","",COUNTIF($I$2:$I$501,"&lt;="&amp;I461))</f>
        <v/>
      </c>
      <c r="K461" s="3"/>
    </row>
    <row r="462" spans="5:11" x14ac:dyDescent="0.35">
      <c r="E462" s="3"/>
      <c r="F462" s="3"/>
      <c r="H462" s="3"/>
      <c r="I462" t="str">
        <f>IF($B462="","",LOWER($B462)&amp;"|"&amp;TEXT(ROW(),"0000"))</f>
        <v/>
      </c>
      <c r="J462" t="str">
        <f>IF(I462="","",COUNTIF($I$2:$I$501,"&lt;="&amp;I462))</f>
        <v/>
      </c>
      <c r="K462" s="3"/>
    </row>
    <row r="463" spans="5:11" x14ac:dyDescent="0.35">
      <c r="E463" s="3"/>
      <c r="F463" s="3"/>
      <c r="H463" s="3"/>
      <c r="I463" t="str">
        <f>IF($B463="","",LOWER($B463)&amp;"|"&amp;TEXT(ROW(),"0000"))</f>
        <v/>
      </c>
      <c r="J463" t="str">
        <f>IF(I463="","",COUNTIF($I$2:$I$501,"&lt;="&amp;I463))</f>
        <v/>
      </c>
      <c r="K463" s="3"/>
    </row>
    <row r="464" spans="5:11" x14ac:dyDescent="0.35">
      <c r="E464" s="3"/>
      <c r="F464" s="3"/>
      <c r="H464" s="3"/>
      <c r="I464" t="str">
        <f>IF($B464="","",LOWER($B464)&amp;"|"&amp;TEXT(ROW(),"0000"))</f>
        <v/>
      </c>
      <c r="J464" t="str">
        <f>IF(I464="","",COUNTIF($I$2:$I$501,"&lt;="&amp;I464))</f>
        <v/>
      </c>
      <c r="K464" s="3"/>
    </row>
    <row r="465" spans="5:11" x14ac:dyDescent="0.35">
      <c r="E465" s="3"/>
      <c r="F465" s="3"/>
      <c r="H465" s="3"/>
      <c r="I465" t="str">
        <f>IF($B465="","",LOWER($B465)&amp;"|"&amp;TEXT(ROW(),"0000"))</f>
        <v/>
      </c>
      <c r="J465" t="str">
        <f>IF(I465="","",COUNTIF($I$2:$I$501,"&lt;="&amp;I465))</f>
        <v/>
      </c>
      <c r="K465" s="3"/>
    </row>
    <row r="466" spans="5:11" x14ac:dyDescent="0.35">
      <c r="E466" s="3"/>
      <c r="F466" s="3"/>
      <c r="H466" s="3"/>
      <c r="I466" t="str">
        <f>IF($B466="","",LOWER($B466)&amp;"|"&amp;TEXT(ROW(),"0000"))</f>
        <v/>
      </c>
      <c r="J466" t="str">
        <f>IF(I466="","",COUNTIF($I$2:$I$501,"&lt;="&amp;I466))</f>
        <v/>
      </c>
      <c r="K466" s="3"/>
    </row>
    <row r="467" spans="5:11" x14ac:dyDescent="0.35">
      <c r="E467" s="3"/>
      <c r="F467" s="3"/>
      <c r="H467" s="3"/>
      <c r="I467" t="str">
        <f>IF($B467="","",LOWER($B467)&amp;"|"&amp;TEXT(ROW(),"0000"))</f>
        <v/>
      </c>
      <c r="J467" t="str">
        <f>IF(I467="","",COUNTIF($I$2:$I$501,"&lt;="&amp;I467))</f>
        <v/>
      </c>
      <c r="K467" s="3"/>
    </row>
    <row r="468" spans="5:11" x14ac:dyDescent="0.35">
      <c r="E468" s="3"/>
      <c r="F468" s="3"/>
      <c r="H468" s="3"/>
      <c r="I468" t="str">
        <f>IF($B468="","",LOWER($B468)&amp;"|"&amp;TEXT(ROW(),"0000"))</f>
        <v/>
      </c>
      <c r="J468" t="str">
        <f>IF(I468="","",COUNTIF($I$2:$I$501,"&lt;="&amp;I468))</f>
        <v/>
      </c>
      <c r="K468" s="3"/>
    </row>
    <row r="469" spans="5:11" x14ac:dyDescent="0.35">
      <c r="E469" s="3"/>
      <c r="F469" s="3"/>
      <c r="H469" s="3"/>
      <c r="I469" t="str">
        <f>IF($B469="","",LOWER($B469)&amp;"|"&amp;TEXT(ROW(),"0000"))</f>
        <v/>
      </c>
      <c r="J469" t="str">
        <f>IF(I469="","",COUNTIF($I$2:$I$501,"&lt;="&amp;I469))</f>
        <v/>
      </c>
      <c r="K469" s="3"/>
    </row>
    <row r="470" spans="5:11" x14ac:dyDescent="0.35">
      <c r="E470" s="3"/>
      <c r="F470" s="3"/>
      <c r="H470" s="3"/>
      <c r="I470" t="str">
        <f>IF($B470="","",LOWER($B470)&amp;"|"&amp;TEXT(ROW(),"0000"))</f>
        <v/>
      </c>
      <c r="J470" t="str">
        <f>IF(I470="","",COUNTIF($I$2:$I$501,"&lt;="&amp;I470))</f>
        <v/>
      </c>
      <c r="K470" s="3"/>
    </row>
    <row r="471" spans="5:11" x14ac:dyDescent="0.35">
      <c r="E471" s="3"/>
      <c r="F471" s="3"/>
      <c r="H471" s="3"/>
      <c r="I471" t="str">
        <f>IF($B471="","",LOWER($B471)&amp;"|"&amp;TEXT(ROW(),"0000"))</f>
        <v/>
      </c>
      <c r="J471" t="str">
        <f>IF(I471="","",COUNTIF($I$2:$I$501,"&lt;="&amp;I471))</f>
        <v/>
      </c>
      <c r="K471" s="3"/>
    </row>
    <row r="472" spans="5:11" x14ac:dyDescent="0.35">
      <c r="E472" s="3"/>
      <c r="F472" s="3"/>
      <c r="H472" s="3"/>
      <c r="I472" t="str">
        <f>IF($B472="","",LOWER($B472)&amp;"|"&amp;TEXT(ROW(),"0000"))</f>
        <v/>
      </c>
      <c r="J472" t="str">
        <f>IF(I472="","",COUNTIF($I$2:$I$501,"&lt;="&amp;I472))</f>
        <v/>
      </c>
      <c r="K472" s="3"/>
    </row>
    <row r="473" spans="5:11" x14ac:dyDescent="0.35">
      <c r="E473" s="3"/>
      <c r="F473" s="3"/>
      <c r="H473" s="3"/>
      <c r="I473" t="str">
        <f>IF($B473="","",LOWER($B473)&amp;"|"&amp;TEXT(ROW(),"0000"))</f>
        <v/>
      </c>
      <c r="J473" t="str">
        <f>IF(I473="","",COUNTIF($I$2:$I$501,"&lt;="&amp;I473))</f>
        <v/>
      </c>
      <c r="K473" s="3"/>
    </row>
    <row r="474" spans="5:11" x14ac:dyDescent="0.35">
      <c r="E474" s="3"/>
      <c r="F474" s="3"/>
      <c r="H474" s="3"/>
      <c r="I474" t="str">
        <f>IF($B474="","",LOWER($B474)&amp;"|"&amp;TEXT(ROW(),"0000"))</f>
        <v/>
      </c>
      <c r="J474" t="str">
        <f>IF(I474="","",COUNTIF($I$2:$I$501,"&lt;="&amp;I474))</f>
        <v/>
      </c>
      <c r="K474" s="3"/>
    </row>
    <row r="475" spans="5:11" x14ac:dyDescent="0.35">
      <c r="E475" s="3"/>
      <c r="F475" s="3"/>
      <c r="H475" s="3"/>
      <c r="I475" t="str">
        <f>IF($B475="","",LOWER($B475)&amp;"|"&amp;TEXT(ROW(),"0000"))</f>
        <v/>
      </c>
      <c r="J475" t="str">
        <f>IF(I475="","",COUNTIF($I$2:$I$501,"&lt;="&amp;I475))</f>
        <v/>
      </c>
      <c r="K475" s="3"/>
    </row>
    <row r="476" spans="5:11" x14ac:dyDescent="0.35">
      <c r="E476" s="3"/>
      <c r="F476" s="3"/>
      <c r="H476" s="3"/>
      <c r="I476" t="str">
        <f>IF($B476="","",LOWER($B476)&amp;"|"&amp;TEXT(ROW(),"0000"))</f>
        <v/>
      </c>
      <c r="J476" t="str">
        <f>IF(I476="","",COUNTIF($I$2:$I$501,"&lt;="&amp;I476))</f>
        <v/>
      </c>
      <c r="K476" s="3"/>
    </row>
    <row r="477" spans="5:11" x14ac:dyDescent="0.35">
      <c r="E477" s="3"/>
      <c r="F477" s="3"/>
      <c r="H477" s="3"/>
      <c r="I477" t="str">
        <f>IF($B477="","",LOWER($B477)&amp;"|"&amp;TEXT(ROW(),"0000"))</f>
        <v/>
      </c>
      <c r="J477" t="str">
        <f>IF(I477="","",COUNTIF($I$2:$I$501,"&lt;="&amp;I477))</f>
        <v/>
      </c>
      <c r="K477" s="3"/>
    </row>
    <row r="478" spans="5:11" x14ac:dyDescent="0.35">
      <c r="E478" s="3"/>
      <c r="F478" s="3"/>
      <c r="H478" s="3"/>
      <c r="I478" t="str">
        <f>IF($B478="","",LOWER($B478)&amp;"|"&amp;TEXT(ROW(),"0000"))</f>
        <v/>
      </c>
      <c r="J478" t="str">
        <f>IF(I478="","",COUNTIF($I$2:$I$501,"&lt;="&amp;I478))</f>
        <v/>
      </c>
      <c r="K478" s="3"/>
    </row>
    <row r="479" spans="5:11" x14ac:dyDescent="0.35">
      <c r="E479" s="3"/>
      <c r="F479" s="3"/>
      <c r="H479" s="3"/>
      <c r="I479" t="str">
        <f>IF($B479="","",LOWER($B479)&amp;"|"&amp;TEXT(ROW(),"0000"))</f>
        <v/>
      </c>
      <c r="J479" t="str">
        <f>IF(I479="","",COUNTIF($I$2:$I$501,"&lt;="&amp;I479))</f>
        <v/>
      </c>
      <c r="K479" s="3"/>
    </row>
    <row r="480" spans="5:11" x14ac:dyDescent="0.35">
      <c r="E480" s="3"/>
      <c r="F480" s="3"/>
      <c r="H480" s="3"/>
      <c r="I480" t="str">
        <f>IF($B480="","",LOWER($B480)&amp;"|"&amp;TEXT(ROW(),"0000"))</f>
        <v/>
      </c>
      <c r="J480" t="str">
        <f>IF(I480="","",COUNTIF($I$2:$I$501,"&lt;="&amp;I480))</f>
        <v/>
      </c>
      <c r="K480" s="3"/>
    </row>
    <row r="481" spans="5:11" x14ac:dyDescent="0.35">
      <c r="E481" s="3"/>
      <c r="F481" s="3"/>
      <c r="H481" s="3"/>
      <c r="I481" t="str">
        <f>IF($B481="","",LOWER($B481)&amp;"|"&amp;TEXT(ROW(),"0000"))</f>
        <v/>
      </c>
      <c r="J481" t="str">
        <f>IF(I481="","",COUNTIF($I$2:$I$501,"&lt;="&amp;I481))</f>
        <v/>
      </c>
      <c r="K481" s="3"/>
    </row>
    <row r="482" spans="5:11" x14ac:dyDescent="0.35">
      <c r="E482" s="3"/>
      <c r="F482" s="3"/>
      <c r="H482" s="3"/>
      <c r="I482" t="str">
        <f>IF($B482="","",LOWER($B482)&amp;"|"&amp;TEXT(ROW(),"0000"))</f>
        <v/>
      </c>
      <c r="J482" t="str">
        <f>IF(I482="","",COUNTIF($I$2:$I$501,"&lt;="&amp;I482))</f>
        <v/>
      </c>
      <c r="K482" s="3"/>
    </row>
    <row r="483" spans="5:11" x14ac:dyDescent="0.35">
      <c r="E483" s="3"/>
      <c r="F483" s="3"/>
      <c r="H483" s="3"/>
      <c r="I483" t="str">
        <f>IF($B483="","",LOWER($B483)&amp;"|"&amp;TEXT(ROW(),"0000"))</f>
        <v/>
      </c>
      <c r="J483" t="str">
        <f>IF(I483="","",COUNTIF($I$2:$I$501,"&lt;="&amp;I483))</f>
        <v/>
      </c>
      <c r="K483" s="3"/>
    </row>
    <row r="484" spans="5:11" x14ac:dyDescent="0.35">
      <c r="E484" s="3"/>
      <c r="F484" s="3"/>
      <c r="H484" s="3"/>
      <c r="I484" t="str">
        <f>IF($B484="","",LOWER($B484)&amp;"|"&amp;TEXT(ROW(),"0000"))</f>
        <v/>
      </c>
      <c r="J484" t="str">
        <f>IF(I484="","",COUNTIF($I$2:$I$501,"&lt;="&amp;I484))</f>
        <v/>
      </c>
      <c r="K484" s="3"/>
    </row>
    <row r="485" spans="5:11" x14ac:dyDescent="0.35">
      <c r="E485" s="3"/>
      <c r="F485" s="3"/>
      <c r="H485" s="3"/>
      <c r="I485" t="str">
        <f>IF($B485="","",LOWER($B485)&amp;"|"&amp;TEXT(ROW(),"0000"))</f>
        <v/>
      </c>
      <c r="J485" t="str">
        <f>IF(I485="","",COUNTIF($I$2:$I$501,"&lt;="&amp;I485))</f>
        <v/>
      </c>
      <c r="K485" s="3"/>
    </row>
    <row r="486" spans="5:11" x14ac:dyDescent="0.35">
      <c r="E486" s="3"/>
      <c r="F486" s="3"/>
      <c r="H486" s="3"/>
      <c r="I486" t="str">
        <f>IF($B486="","",LOWER($B486)&amp;"|"&amp;TEXT(ROW(),"0000"))</f>
        <v/>
      </c>
      <c r="J486" t="str">
        <f>IF(I486="","",COUNTIF($I$2:$I$501,"&lt;="&amp;I486))</f>
        <v/>
      </c>
      <c r="K486" s="3"/>
    </row>
    <row r="487" spans="5:11" x14ac:dyDescent="0.35">
      <c r="E487" s="3"/>
      <c r="F487" s="3"/>
      <c r="H487" s="3"/>
      <c r="I487" t="str">
        <f>IF($B487="","",LOWER($B487)&amp;"|"&amp;TEXT(ROW(),"0000"))</f>
        <v/>
      </c>
      <c r="J487" t="str">
        <f>IF(I487="","",COUNTIF($I$2:$I$501,"&lt;="&amp;I487))</f>
        <v/>
      </c>
      <c r="K487" s="3"/>
    </row>
    <row r="488" spans="5:11" x14ac:dyDescent="0.35">
      <c r="E488" s="3"/>
      <c r="F488" s="3"/>
      <c r="H488" s="3"/>
      <c r="I488" t="str">
        <f>IF($B488="","",LOWER($B488)&amp;"|"&amp;TEXT(ROW(),"0000"))</f>
        <v/>
      </c>
      <c r="J488" t="str">
        <f>IF(I488="","",COUNTIF($I$2:$I$501,"&lt;="&amp;I488))</f>
        <v/>
      </c>
      <c r="K488" s="3"/>
    </row>
    <row r="489" spans="5:11" x14ac:dyDescent="0.35">
      <c r="E489" s="3"/>
      <c r="F489" s="3"/>
      <c r="H489" s="3"/>
      <c r="I489" t="str">
        <f>IF($B489="","",LOWER($B489)&amp;"|"&amp;TEXT(ROW(),"0000"))</f>
        <v/>
      </c>
      <c r="J489" t="str">
        <f>IF(I489="","",COUNTIF($I$2:$I$501,"&lt;="&amp;I489))</f>
        <v/>
      </c>
      <c r="K489" s="3"/>
    </row>
    <row r="490" spans="5:11" x14ac:dyDescent="0.35">
      <c r="E490" s="3"/>
      <c r="F490" s="3"/>
      <c r="H490" s="3"/>
      <c r="I490" t="str">
        <f>IF($B490="","",LOWER($B490)&amp;"|"&amp;TEXT(ROW(),"0000"))</f>
        <v/>
      </c>
      <c r="J490" t="str">
        <f>IF(I490="","",COUNTIF($I$2:$I$501,"&lt;="&amp;I490))</f>
        <v/>
      </c>
      <c r="K490" s="3"/>
    </row>
    <row r="491" spans="5:11" x14ac:dyDescent="0.35">
      <c r="E491" s="3"/>
      <c r="F491" s="3"/>
      <c r="H491" s="3"/>
      <c r="I491" t="str">
        <f>IF($B491="","",LOWER($B491)&amp;"|"&amp;TEXT(ROW(),"0000"))</f>
        <v/>
      </c>
      <c r="J491" t="str">
        <f>IF(I491="","",COUNTIF($I$2:$I$501,"&lt;="&amp;I491))</f>
        <v/>
      </c>
      <c r="K491" s="3"/>
    </row>
    <row r="492" spans="5:11" x14ac:dyDescent="0.35">
      <c r="E492" s="3"/>
      <c r="F492" s="3"/>
      <c r="H492" s="3"/>
      <c r="I492" t="str">
        <f>IF($B492="","",LOWER($B492)&amp;"|"&amp;TEXT(ROW(),"0000"))</f>
        <v/>
      </c>
      <c r="J492" t="str">
        <f>IF(I492="","",COUNTIF($I$2:$I$501,"&lt;="&amp;I492))</f>
        <v/>
      </c>
      <c r="K492" s="3"/>
    </row>
    <row r="493" spans="5:11" x14ac:dyDescent="0.35">
      <c r="E493" s="3"/>
      <c r="F493" s="3"/>
      <c r="H493" s="3"/>
      <c r="I493" t="str">
        <f>IF($B493="","",LOWER($B493)&amp;"|"&amp;TEXT(ROW(),"0000"))</f>
        <v/>
      </c>
      <c r="J493" t="str">
        <f>IF(I493="","",COUNTIF($I$2:$I$501,"&lt;="&amp;I493))</f>
        <v/>
      </c>
      <c r="K493" s="3"/>
    </row>
    <row r="494" spans="5:11" x14ac:dyDescent="0.35">
      <c r="E494" s="3"/>
      <c r="F494" s="3"/>
      <c r="H494" s="3"/>
      <c r="I494" t="str">
        <f>IF($B494="","",LOWER($B494)&amp;"|"&amp;TEXT(ROW(),"0000"))</f>
        <v/>
      </c>
      <c r="J494" t="str">
        <f>IF(I494="","",COUNTIF($I$2:$I$501,"&lt;="&amp;I494))</f>
        <v/>
      </c>
      <c r="K494" s="3"/>
    </row>
    <row r="495" spans="5:11" x14ac:dyDescent="0.35">
      <c r="E495" s="3"/>
      <c r="F495" s="3"/>
      <c r="H495" s="3"/>
      <c r="I495" t="str">
        <f>IF($B495="","",LOWER($B495)&amp;"|"&amp;TEXT(ROW(),"0000"))</f>
        <v/>
      </c>
      <c r="J495" t="str">
        <f>IF(I495="","",COUNTIF($I$2:$I$501,"&lt;="&amp;I495))</f>
        <v/>
      </c>
      <c r="K495" s="3"/>
    </row>
    <row r="496" spans="5:11" x14ac:dyDescent="0.35">
      <c r="E496" s="3"/>
      <c r="F496" s="3"/>
      <c r="H496" s="3"/>
      <c r="I496" t="str">
        <f>IF($B496="","",LOWER($B496)&amp;"|"&amp;TEXT(ROW(),"0000"))</f>
        <v/>
      </c>
      <c r="J496" t="str">
        <f>IF(I496="","",COUNTIF($I$2:$I$501,"&lt;="&amp;I496))</f>
        <v/>
      </c>
      <c r="K496" s="3"/>
    </row>
    <row r="497" spans="5:11" x14ac:dyDescent="0.35">
      <c r="E497" s="3"/>
      <c r="F497" s="3"/>
      <c r="H497" s="3"/>
      <c r="I497" t="str">
        <f>IF($B497="","",LOWER($B497)&amp;"|"&amp;TEXT(ROW(),"0000"))</f>
        <v/>
      </c>
      <c r="J497" t="str">
        <f>IF(I497="","",COUNTIF($I$2:$I$501,"&lt;="&amp;I497))</f>
        <v/>
      </c>
      <c r="K497" s="3"/>
    </row>
    <row r="498" spans="5:11" x14ac:dyDescent="0.35">
      <c r="E498" s="3"/>
      <c r="F498" s="3"/>
      <c r="H498" s="3"/>
      <c r="I498" t="str">
        <f>IF($B498="","",LOWER($B498)&amp;"|"&amp;TEXT(ROW(),"0000"))</f>
        <v/>
      </c>
      <c r="J498" t="str">
        <f>IF(I498="","",COUNTIF($I$2:$I$501,"&lt;="&amp;I498))</f>
        <v/>
      </c>
      <c r="K498" s="3"/>
    </row>
    <row r="499" spans="5:11" x14ac:dyDescent="0.35">
      <c r="E499" s="3"/>
      <c r="F499" s="3"/>
      <c r="H499" s="3"/>
      <c r="I499" t="str">
        <f>IF($B499="","",LOWER($B499)&amp;"|"&amp;TEXT(ROW(),"0000"))</f>
        <v/>
      </c>
      <c r="J499" t="str">
        <f>IF(I499="","",COUNTIF($I$2:$I$501,"&lt;="&amp;I499))</f>
        <v/>
      </c>
      <c r="K499" s="3"/>
    </row>
    <row r="500" spans="5:11" x14ac:dyDescent="0.35">
      <c r="E500" s="3"/>
      <c r="F500" s="3"/>
      <c r="H500" s="3"/>
      <c r="I500" t="str">
        <f>IF($B500="","",LOWER($B500)&amp;"|"&amp;TEXT(ROW(),"0000"))</f>
        <v/>
      </c>
      <c r="J500" t="str">
        <f>IF(I500="","",COUNTIF($I$2:$I$501,"&lt;="&amp;I500))</f>
        <v/>
      </c>
      <c r="K500" s="3"/>
    </row>
    <row r="501" spans="5:11" x14ac:dyDescent="0.35">
      <c r="E501" s="3"/>
      <c r="F501" s="3"/>
      <c r="H501" s="3"/>
      <c r="I501" t="str">
        <f>IF($B501="","",LOWER($B501)&amp;"|"&amp;TEXT(ROW(),"0000"))</f>
        <v/>
      </c>
      <c r="J501" t="str">
        <f>IF(I501="","",COUNTIF($I$2:$I$501,"&lt;="&amp;I501))</f>
        <v/>
      </c>
      <c r="K501" s="3"/>
    </row>
    <row r="502" spans="5:11" x14ac:dyDescent="0.35">
      <c r="E502" s="3"/>
      <c r="F502" s="3"/>
      <c r="H502" s="3"/>
      <c r="K502" s="3"/>
    </row>
    <row r="503" spans="5:11" x14ac:dyDescent="0.35">
      <c r="E503" s="3"/>
      <c r="F503" s="3"/>
      <c r="H503" s="3"/>
      <c r="K503" s="3"/>
    </row>
    <row r="504" spans="5:11" x14ac:dyDescent="0.35">
      <c r="E504" s="3"/>
      <c r="F504" s="3"/>
      <c r="H504" s="3"/>
      <c r="K504" s="3"/>
    </row>
    <row r="505" spans="5:11" x14ac:dyDescent="0.35">
      <c r="E505" s="3"/>
      <c r="F505" s="3"/>
      <c r="H505" s="3"/>
      <c r="K505" s="3"/>
    </row>
    <row r="506" spans="5:11" x14ac:dyDescent="0.35">
      <c r="E506" s="3"/>
      <c r="F506" s="3"/>
      <c r="H506" s="3"/>
      <c r="K506" s="3"/>
    </row>
    <row r="507" spans="5:11" x14ac:dyDescent="0.35">
      <c r="E507" s="3"/>
      <c r="F507" s="3"/>
      <c r="H507" s="3"/>
      <c r="K507" s="3"/>
    </row>
    <row r="508" spans="5:11" x14ac:dyDescent="0.35">
      <c r="E508" s="3"/>
      <c r="F508" s="3"/>
      <c r="H508" s="3"/>
      <c r="K508" s="3"/>
    </row>
    <row r="509" spans="5:11" x14ac:dyDescent="0.35">
      <c r="E509" s="3"/>
      <c r="F509" s="3"/>
      <c r="H509" s="3"/>
      <c r="K509" s="3"/>
    </row>
    <row r="510" spans="5:11" x14ac:dyDescent="0.35">
      <c r="E510" s="3"/>
      <c r="F510" s="3"/>
      <c r="H510" s="3"/>
      <c r="K510" s="3"/>
    </row>
    <row r="511" spans="5:11" x14ac:dyDescent="0.35">
      <c r="E511" s="3"/>
      <c r="F511" s="3"/>
      <c r="H511" s="3"/>
      <c r="K511" s="3"/>
    </row>
    <row r="512" spans="5:11" x14ac:dyDescent="0.35">
      <c r="E512" s="3"/>
      <c r="F512" s="3"/>
      <c r="H512" s="3"/>
      <c r="K512" s="3"/>
    </row>
    <row r="513" spans="5:11" x14ac:dyDescent="0.35">
      <c r="E513" s="3"/>
      <c r="F513" s="3"/>
      <c r="H513" s="3"/>
      <c r="K513" s="3"/>
    </row>
    <row r="514" spans="5:11" x14ac:dyDescent="0.35">
      <c r="E514" s="3"/>
      <c r="F514" s="3"/>
      <c r="H514" s="3"/>
      <c r="K514" s="3"/>
    </row>
    <row r="515" spans="5:11" x14ac:dyDescent="0.35">
      <c r="E515" s="3"/>
      <c r="F515" s="3"/>
      <c r="H515" s="3"/>
      <c r="K515" s="3"/>
    </row>
    <row r="516" spans="5:11" x14ac:dyDescent="0.35">
      <c r="E516" s="3"/>
      <c r="F516" s="3"/>
      <c r="H516" s="3"/>
      <c r="K516" s="3"/>
    </row>
    <row r="517" spans="5:11" x14ac:dyDescent="0.35">
      <c r="E517" s="3"/>
      <c r="F517" s="3"/>
      <c r="H517" s="3"/>
      <c r="K517" s="3"/>
    </row>
    <row r="518" spans="5:11" x14ac:dyDescent="0.35">
      <c r="E518" s="3"/>
      <c r="F518" s="3"/>
      <c r="H518" s="3"/>
      <c r="K518" s="3"/>
    </row>
    <row r="519" spans="5:11" x14ac:dyDescent="0.35">
      <c r="E519" s="3"/>
      <c r="F519" s="3"/>
      <c r="H519" s="3"/>
      <c r="K519" s="3"/>
    </row>
    <row r="520" spans="5:11" x14ac:dyDescent="0.35">
      <c r="E520" s="3"/>
      <c r="F520" s="3"/>
      <c r="H520" s="3"/>
      <c r="K520" s="3"/>
    </row>
    <row r="521" spans="5:11" x14ac:dyDescent="0.35">
      <c r="E521" s="3"/>
      <c r="F521" s="3"/>
      <c r="H521" s="3"/>
      <c r="K521" s="3"/>
    </row>
    <row r="522" spans="5:11" x14ac:dyDescent="0.35">
      <c r="E522" s="3"/>
      <c r="F522" s="3"/>
      <c r="H522" s="3"/>
      <c r="K522" s="3"/>
    </row>
    <row r="523" spans="5:11" x14ac:dyDescent="0.35">
      <c r="E523" s="3"/>
      <c r="F523" s="3"/>
      <c r="H523" s="3"/>
      <c r="K523" s="3"/>
    </row>
    <row r="524" spans="5:11" x14ac:dyDescent="0.35">
      <c r="E524" s="3"/>
      <c r="F524" s="3"/>
      <c r="H524" s="3"/>
      <c r="K524" s="3"/>
    </row>
    <row r="525" spans="5:11" x14ac:dyDescent="0.35">
      <c r="E525" s="3"/>
      <c r="F525" s="3"/>
      <c r="H525" s="3"/>
      <c r="K525" s="3"/>
    </row>
    <row r="526" spans="5:11" x14ac:dyDescent="0.35">
      <c r="E526" s="3"/>
      <c r="F526" s="3"/>
      <c r="H526" s="3"/>
      <c r="K526" s="3"/>
    </row>
    <row r="527" spans="5:11" x14ac:dyDescent="0.35">
      <c r="E527" s="3"/>
      <c r="F527" s="3"/>
      <c r="H527" s="3"/>
      <c r="K527" s="3"/>
    </row>
    <row r="528" spans="5:11" x14ac:dyDescent="0.35">
      <c r="E528" s="3"/>
      <c r="F528" s="3"/>
      <c r="H528" s="3"/>
      <c r="K528" s="3"/>
    </row>
    <row r="529" spans="5:11" x14ac:dyDescent="0.35">
      <c r="E529" s="3"/>
      <c r="F529" s="3"/>
      <c r="H529" s="3"/>
      <c r="K529" s="3"/>
    </row>
    <row r="530" spans="5:11" x14ac:dyDescent="0.35">
      <c r="E530" s="3"/>
      <c r="F530" s="3"/>
      <c r="H530" s="3"/>
      <c r="K530" s="3"/>
    </row>
    <row r="531" spans="5:11" x14ac:dyDescent="0.35">
      <c r="E531" s="3"/>
      <c r="F531" s="3"/>
      <c r="H531" s="3"/>
      <c r="K531" s="3"/>
    </row>
    <row r="532" spans="5:11" x14ac:dyDescent="0.35">
      <c r="E532" s="3"/>
      <c r="F532" s="3"/>
      <c r="H532" s="3"/>
      <c r="K532" s="3"/>
    </row>
    <row r="533" spans="5:11" x14ac:dyDescent="0.35">
      <c r="E533" s="3"/>
      <c r="F533" s="3"/>
      <c r="H533" s="3"/>
      <c r="K533" s="3"/>
    </row>
    <row r="534" spans="5:11" x14ac:dyDescent="0.35">
      <c r="E534" s="3"/>
      <c r="F534" s="3"/>
      <c r="H534" s="3"/>
      <c r="K534" s="3"/>
    </row>
    <row r="535" spans="5:11" x14ac:dyDescent="0.35">
      <c r="E535" s="3"/>
      <c r="F535" s="3"/>
      <c r="H535" s="3"/>
      <c r="K535" s="3"/>
    </row>
    <row r="536" spans="5:11" x14ac:dyDescent="0.35">
      <c r="E536" s="3"/>
      <c r="F536" s="3"/>
      <c r="H536" s="3"/>
      <c r="K536" s="3"/>
    </row>
    <row r="537" spans="5:11" x14ac:dyDescent="0.35">
      <c r="E537" s="3"/>
      <c r="F537" s="3"/>
      <c r="H537" s="3"/>
      <c r="K537" s="3"/>
    </row>
    <row r="538" spans="5:11" x14ac:dyDescent="0.35">
      <c r="E538" s="3"/>
      <c r="F538" s="3"/>
      <c r="H538" s="3"/>
      <c r="K538" s="3"/>
    </row>
    <row r="539" spans="5:11" x14ac:dyDescent="0.35">
      <c r="E539" s="3"/>
      <c r="F539" s="3"/>
      <c r="H539" s="3"/>
      <c r="K539" s="3"/>
    </row>
    <row r="540" spans="5:11" x14ac:dyDescent="0.35">
      <c r="E540" s="3"/>
      <c r="F540" s="3"/>
      <c r="H540" s="3"/>
      <c r="K540" s="3"/>
    </row>
    <row r="541" spans="5:11" x14ac:dyDescent="0.35">
      <c r="E541" s="3"/>
      <c r="F541" s="3"/>
      <c r="H541" s="3"/>
      <c r="K541" s="3"/>
    </row>
    <row r="542" spans="5:11" x14ac:dyDescent="0.35">
      <c r="E542" s="3"/>
      <c r="F542" s="3"/>
      <c r="H542" s="3"/>
      <c r="K542" s="3"/>
    </row>
    <row r="543" spans="5:11" x14ac:dyDescent="0.35">
      <c r="E543" s="3"/>
      <c r="F543" s="3"/>
      <c r="H543" s="3"/>
      <c r="K543" s="3"/>
    </row>
    <row r="544" spans="5:11" x14ac:dyDescent="0.35">
      <c r="E544" s="3"/>
      <c r="F544" s="3"/>
      <c r="H544" s="3"/>
      <c r="K544" s="3"/>
    </row>
    <row r="545" spans="5:11" x14ac:dyDescent="0.35">
      <c r="E545" s="3"/>
      <c r="F545" s="3"/>
      <c r="H545" s="3"/>
      <c r="K545" s="3"/>
    </row>
    <row r="546" spans="5:11" x14ac:dyDescent="0.35">
      <c r="E546" s="3"/>
      <c r="F546" s="3"/>
      <c r="H546" s="3"/>
      <c r="K546" s="3"/>
    </row>
    <row r="547" spans="5:11" x14ac:dyDescent="0.35">
      <c r="E547" s="3"/>
      <c r="F547" s="3"/>
      <c r="H547" s="3"/>
      <c r="K547" s="3"/>
    </row>
    <row r="548" spans="5:11" x14ac:dyDescent="0.35">
      <c r="E548" s="3"/>
      <c r="F548" s="3"/>
      <c r="H548" s="3"/>
      <c r="K548" s="3"/>
    </row>
    <row r="549" spans="5:11" x14ac:dyDescent="0.35">
      <c r="E549" s="3"/>
      <c r="F549" s="3"/>
      <c r="H549" s="3"/>
      <c r="K549" s="3"/>
    </row>
    <row r="550" spans="5:11" x14ac:dyDescent="0.35">
      <c r="E550" s="3"/>
      <c r="F550" s="3"/>
      <c r="H550" s="3"/>
      <c r="K550" s="3"/>
    </row>
    <row r="551" spans="5:11" x14ac:dyDescent="0.35">
      <c r="E551" s="3"/>
      <c r="F551" s="3"/>
      <c r="H551" s="3"/>
      <c r="K551" s="3"/>
    </row>
    <row r="552" spans="5:11" x14ac:dyDescent="0.35">
      <c r="E552" s="3"/>
      <c r="F552" s="3"/>
      <c r="H552" s="3"/>
      <c r="K552" s="3"/>
    </row>
    <row r="553" spans="5:11" x14ac:dyDescent="0.35">
      <c r="E553" s="3"/>
      <c r="F553" s="3"/>
      <c r="H553" s="3"/>
      <c r="K553" s="3"/>
    </row>
    <row r="554" spans="5:11" x14ac:dyDescent="0.35">
      <c r="E554" s="3"/>
      <c r="F554" s="3"/>
      <c r="H554" s="3"/>
      <c r="K554" s="3"/>
    </row>
    <row r="555" spans="5:11" x14ac:dyDescent="0.35">
      <c r="E555" s="3"/>
      <c r="F555" s="3"/>
      <c r="H555" s="3"/>
      <c r="K555" s="3"/>
    </row>
    <row r="556" spans="5:11" x14ac:dyDescent="0.35">
      <c r="E556" s="3"/>
      <c r="F556" s="3"/>
      <c r="H556" s="3"/>
      <c r="K556" s="3"/>
    </row>
    <row r="557" spans="5:11" x14ac:dyDescent="0.35">
      <c r="E557" s="3"/>
      <c r="F557" s="3"/>
      <c r="H557" s="3"/>
      <c r="K557" s="3"/>
    </row>
    <row r="558" spans="5:11" x14ac:dyDescent="0.35">
      <c r="E558" s="3"/>
      <c r="F558" s="3"/>
      <c r="H558" s="3"/>
      <c r="K558" s="3"/>
    </row>
    <row r="559" spans="5:11" x14ac:dyDescent="0.35">
      <c r="E559" s="3"/>
      <c r="F559" s="3"/>
      <c r="H559" s="3"/>
      <c r="K559" s="3"/>
    </row>
    <row r="560" spans="5:11" x14ac:dyDescent="0.35">
      <c r="E560" s="3"/>
      <c r="F560" s="3"/>
      <c r="H560" s="3"/>
      <c r="K560" s="3"/>
    </row>
    <row r="561" spans="5:11" x14ac:dyDescent="0.35">
      <c r="E561" s="3"/>
      <c r="F561" s="3"/>
      <c r="H561" s="3"/>
      <c r="K561" s="3"/>
    </row>
    <row r="562" spans="5:11" x14ac:dyDescent="0.35">
      <c r="E562" s="3"/>
      <c r="F562" s="3"/>
      <c r="H562" s="3"/>
      <c r="K562" s="3"/>
    </row>
    <row r="563" spans="5:11" x14ac:dyDescent="0.35">
      <c r="E563" s="3"/>
      <c r="F563" s="3"/>
      <c r="H563" s="3"/>
      <c r="K563" s="3"/>
    </row>
    <row r="564" spans="5:11" x14ac:dyDescent="0.35">
      <c r="E564" s="3"/>
      <c r="F564" s="3"/>
      <c r="H564" s="3"/>
      <c r="K564" s="3"/>
    </row>
    <row r="565" spans="5:11" x14ac:dyDescent="0.35">
      <c r="E565" s="3"/>
      <c r="F565" s="3"/>
      <c r="H565" s="3"/>
      <c r="K565" s="3"/>
    </row>
    <row r="566" spans="5:11" x14ac:dyDescent="0.35">
      <c r="E566" s="3"/>
      <c r="F566" s="3"/>
      <c r="H566" s="3"/>
      <c r="K566" s="3"/>
    </row>
    <row r="567" spans="5:11" x14ac:dyDescent="0.35">
      <c r="E567" s="3"/>
      <c r="F567" s="3"/>
      <c r="H567" s="3"/>
      <c r="K567" s="3"/>
    </row>
    <row r="568" spans="5:11" x14ac:dyDescent="0.35">
      <c r="E568" s="3"/>
      <c r="F568" s="3"/>
      <c r="H568" s="3"/>
      <c r="K568" s="3"/>
    </row>
    <row r="569" spans="5:11" x14ac:dyDescent="0.35">
      <c r="E569" s="3"/>
      <c r="F569" s="3"/>
      <c r="H569" s="3"/>
      <c r="K569" s="3"/>
    </row>
    <row r="570" spans="5:11" x14ac:dyDescent="0.35">
      <c r="E570" s="3"/>
      <c r="F570" s="3"/>
      <c r="H570" s="3"/>
      <c r="K570" s="3"/>
    </row>
    <row r="571" spans="5:11" x14ac:dyDescent="0.35">
      <c r="E571" s="3"/>
      <c r="F571" s="3"/>
      <c r="H571" s="3"/>
      <c r="K571" s="3"/>
    </row>
    <row r="572" spans="5:11" x14ac:dyDescent="0.35">
      <c r="E572" s="3"/>
      <c r="F572" s="3"/>
      <c r="H572" s="3"/>
      <c r="K572" s="3"/>
    </row>
    <row r="573" spans="5:11" x14ac:dyDescent="0.35">
      <c r="E573" s="3"/>
      <c r="F573" s="3"/>
      <c r="H573" s="3"/>
      <c r="K573" s="3"/>
    </row>
    <row r="574" spans="5:11" x14ac:dyDescent="0.35">
      <c r="E574" s="3"/>
      <c r="F574" s="3"/>
      <c r="H574" s="3"/>
      <c r="K574" s="3"/>
    </row>
    <row r="575" spans="5:11" x14ac:dyDescent="0.35">
      <c r="E575" s="3"/>
      <c r="F575" s="3"/>
      <c r="H575" s="3"/>
      <c r="K575" s="3"/>
    </row>
    <row r="576" spans="5:11" x14ac:dyDescent="0.35">
      <c r="E576" s="3"/>
      <c r="F576" s="3"/>
      <c r="H576" s="3"/>
      <c r="K576" s="3"/>
    </row>
    <row r="577" spans="5:11" x14ac:dyDescent="0.35">
      <c r="E577" s="3"/>
      <c r="F577" s="3"/>
      <c r="H577" s="3"/>
      <c r="K577" s="3"/>
    </row>
    <row r="578" spans="5:11" x14ac:dyDescent="0.35">
      <c r="E578" s="3"/>
      <c r="F578" s="3"/>
      <c r="H578" s="3"/>
      <c r="K578" s="3"/>
    </row>
    <row r="579" spans="5:11" x14ac:dyDescent="0.35">
      <c r="E579" s="3"/>
      <c r="F579" s="3"/>
      <c r="H579" s="3"/>
      <c r="K579" s="3"/>
    </row>
    <row r="580" spans="5:11" x14ac:dyDescent="0.35">
      <c r="E580" s="3"/>
      <c r="F580" s="3"/>
      <c r="H580" s="3"/>
      <c r="K580" s="3"/>
    </row>
    <row r="581" spans="5:11" x14ac:dyDescent="0.35">
      <c r="E581" s="3"/>
      <c r="F581" s="3"/>
      <c r="H581" s="3"/>
      <c r="K581" s="3"/>
    </row>
    <row r="582" spans="5:11" x14ac:dyDescent="0.35">
      <c r="E582" s="3"/>
      <c r="F582" s="3"/>
      <c r="H582" s="3"/>
      <c r="K582" s="3"/>
    </row>
    <row r="583" spans="5:11" x14ac:dyDescent="0.35">
      <c r="E583" s="3"/>
      <c r="F583" s="3"/>
      <c r="H583" s="3"/>
      <c r="K583" s="3"/>
    </row>
    <row r="584" spans="5:11" x14ac:dyDescent="0.35">
      <c r="E584" s="3"/>
      <c r="F584" s="3"/>
      <c r="H584" s="3"/>
      <c r="K584" s="3"/>
    </row>
    <row r="585" spans="5:11" x14ac:dyDescent="0.35">
      <c r="E585" s="3"/>
      <c r="F585" s="3"/>
      <c r="H585" s="3"/>
      <c r="K585" s="3"/>
    </row>
    <row r="586" spans="5:11" x14ac:dyDescent="0.35">
      <c r="E586" s="3"/>
      <c r="F586" s="3"/>
      <c r="H586" s="3"/>
      <c r="K586" s="3"/>
    </row>
    <row r="587" spans="5:11" x14ac:dyDescent="0.35">
      <c r="E587" s="3"/>
      <c r="F587" s="3"/>
      <c r="H587" s="3"/>
      <c r="K587" s="3"/>
    </row>
    <row r="588" spans="5:11" x14ac:dyDescent="0.35">
      <c r="E588" s="3"/>
      <c r="F588" s="3"/>
      <c r="H588" s="3"/>
      <c r="K588" s="3"/>
    </row>
    <row r="589" spans="5:11" x14ac:dyDescent="0.35">
      <c r="E589" s="3"/>
      <c r="F589" s="3"/>
      <c r="H589" s="3"/>
      <c r="K589" s="3"/>
    </row>
    <row r="590" spans="5:11" x14ac:dyDescent="0.35">
      <c r="E590" s="3"/>
      <c r="F590" s="3"/>
      <c r="H590" s="3"/>
      <c r="K590" s="3"/>
    </row>
    <row r="591" spans="5:11" x14ac:dyDescent="0.35">
      <c r="E591" s="3"/>
      <c r="F591" s="3"/>
      <c r="H591" s="3"/>
      <c r="K591" s="3"/>
    </row>
    <row r="592" spans="5:11" x14ac:dyDescent="0.35">
      <c r="E592" s="3"/>
      <c r="F592" s="3"/>
      <c r="H592" s="3"/>
      <c r="K592" s="3"/>
    </row>
    <row r="593" spans="5:11" x14ac:dyDescent="0.35">
      <c r="E593" s="3"/>
      <c r="F593" s="3"/>
      <c r="H593" s="3"/>
      <c r="K593" s="3"/>
    </row>
    <row r="594" spans="5:11" x14ac:dyDescent="0.35">
      <c r="E594" s="3"/>
      <c r="F594" s="3"/>
      <c r="H594" s="3"/>
      <c r="K594" s="3"/>
    </row>
    <row r="595" spans="5:11" x14ac:dyDescent="0.35">
      <c r="E595" s="3"/>
      <c r="F595" s="3"/>
      <c r="H595" s="3"/>
      <c r="K595" s="3"/>
    </row>
    <row r="596" spans="5:11" x14ac:dyDescent="0.35">
      <c r="E596" s="3"/>
      <c r="F596" s="3"/>
      <c r="H596" s="3"/>
      <c r="K596" s="3"/>
    </row>
    <row r="597" spans="5:11" x14ac:dyDescent="0.35">
      <c r="E597" s="3"/>
      <c r="F597" s="3"/>
      <c r="H597" s="3"/>
      <c r="K597" s="3"/>
    </row>
    <row r="598" spans="5:11" x14ac:dyDescent="0.35">
      <c r="E598" s="3"/>
      <c r="F598" s="3"/>
      <c r="H598" s="3"/>
      <c r="K598" s="3"/>
    </row>
    <row r="599" spans="5:11" x14ac:dyDescent="0.35">
      <c r="E599" s="3"/>
      <c r="F599" s="3"/>
      <c r="H599" s="3"/>
      <c r="K599" s="3"/>
    </row>
    <row r="600" spans="5:11" x14ac:dyDescent="0.35">
      <c r="E600" s="3"/>
      <c r="F600" s="3"/>
      <c r="H600" s="3"/>
      <c r="K600" s="3"/>
    </row>
    <row r="601" spans="5:11" x14ac:dyDescent="0.35">
      <c r="E601" s="3"/>
      <c r="F601" s="3"/>
      <c r="H601" s="3"/>
      <c r="K601" s="3"/>
    </row>
    <row r="602" spans="5:11" x14ac:dyDescent="0.35">
      <c r="E602" s="3"/>
      <c r="F602" s="3"/>
      <c r="H602" s="3"/>
      <c r="K602" s="3"/>
    </row>
    <row r="603" spans="5:11" x14ac:dyDescent="0.35">
      <c r="E603" s="3"/>
      <c r="F603" s="3"/>
      <c r="H603" s="3"/>
      <c r="K603" s="3"/>
    </row>
    <row r="604" spans="5:11" x14ac:dyDescent="0.35">
      <c r="E604" s="3"/>
      <c r="F604" s="3"/>
      <c r="H604" s="3"/>
      <c r="K604" s="3"/>
    </row>
    <row r="605" spans="5:11" x14ac:dyDescent="0.35">
      <c r="E605" s="3"/>
      <c r="F605" s="3"/>
      <c r="H605" s="3"/>
      <c r="K605" s="3"/>
    </row>
    <row r="606" spans="5:11" x14ac:dyDescent="0.35">
      <c r="E606" s="3"/>
      <c r="F606" s="3"/>
      <c r="H606" s="3"/>
      <c r="K606" s="3"/>
    </row>
    <row r="607" spans="5:11" x14ac:dyDescent="0.35">
      <c r="E607" s="3"/>
      <c r="F607" s="3"/>
      <c r="H607" s="3"/>
      <c r="K607" s="3"/>
    </row>
    <row r="608" spans="5:11" x14ac:dyDescent="0.35">
      <c r="E608" s="3"/>
      <c r="F608" s="3"/>
      <c r="H608" s="3"/>
      <c r="K608" s="3"/>
    </row>
    <row r="609" spans="5:11" x14ac:dyDescent="0.35">
      <c r="E609" s="3"/>
      <c r="F609" s="3"/>
      <c r="H609" s="3"/>
      <c r="K609" s="3"/>
    </row>
    <row r="610" spans="5:11" x14ac:dyDescent="0.35">
      <c r="E610" s="3"/>
      <c r="F610" s="3"/>
      <c r="H610" s="3"/>
      <c r="K610" s="3"/>
    </row>
    <row r="611" spans="5:11" x14ac:dyDescent="0.35">
      <c r="E611" s="3"/>
      <c r="F611" s="3"/>
      <c r="H611" s="3"/>
      <c r="K611" s="3"/>
    </row>
    <row r="612" spans="5:11" x14ac:dyDescent="0.35">
      <c r="E612" s="3"/>
      <c r="F612" s="3"/>
      <c r="H612" s="3"/>
      <c r="K612" s="3"/>
    </row>
    <row r="613" spans="5:11" x14ac:dyDescent="0.35">
      <c r="E613" s="3"/>
      <c r="F613" s="3"/>
      <c r="H613" s="3"/>
      <c r="K613" s="3"/>
    </row>
    <row r="614" spans="5:11" x14ac:dyDescent="0.35">
      <c r="E614" s="3"/>
      <c r="F614" s="3"/>
      <c r="H614" s="3"/>
      <c r="K614" s="3"/>
    </row>
    <row r="615" spans="5:11" x14ac:dyDescent="0.35">
      <c r="E615" s="3"/>
      <c r="F615" s="3"/>
      <c r="H615" s="3"/>
      <c r="K615" s="3"/>
    </row>
    <row r="616" spans="5:11" x14ac:dyDescent="0.35">
      <c r="E616" s="3"/>
      <c r="F616" s="3"/>
      <c r="H616" s="3"/>
      <c r="K616" s="3"/>
    </row>
    <row r="617" spans="5:11" x14ac:dyDescent="0.35">
      <c r="E617" s="3"/>
      <c r="F617" s="3"/>
      <c r="H617" s="3"/>
      <c r="K617" s="3"/>
    </row>
    <row r="618" spans="5:11" x14ac:dyDescent="0.35">
      <c r="E618" s="3"/>
      <c r="F618" s="3"/>
      <c r="H618" s="3"/>
      <c r="K618" s="3"/>
    </row>
    <row r="619" spans="5:11" x14ac:dyDescent="0.35">
      <c r="E619" s="3"/>
      <c r="F619" s="3"/>
      <c r="H619" s="3"/>
      <c r="K619" s="3"/>
    </row>
    <row r="620" spans="5:11" x14ac:dyDescent="0.35">
      <c r="E620" s="3"/>
      <c r="F620" s="3"/>
      <c r="H620" s="3"/>
      <c r="K620" s="3"/>
    </row>
    <row r="621" spans="5:11" x14ac:dyDescent="0.35">
      <c r="E621" s="3"/>
      <c r="F621" s="3"/>
      <c r="H621" s="3"/>
      <c r="K621" s="3"/>
    </row>
    <row r="622" spans="5:11" x14ac:dyDescent="0.35">
      <c r="E622" s="3"/>
      <c r="F622" s="3"/>
      <c r="H622" s="3"/>
      <c r="K622" s="3"/>
    </row>
    <row r="623" spans="5:11" x14ac:dyDescent="0.35">
      <c r="E623" s="3"/>
      <c r="F623" s="3"/>
      <c r="H623" s="3"/>
      <c r="K623" s="3"/>
    </row>
    <row r="624" spans="5:11" x14ac:dyDescent="0.35">
      <c r="E624" s="3"/>
      <c r="F624" s="3"/>
      <c r="H624" s="3"/>
      <c r="K624" s="3"/>
    </row>
    <row r="625" spans="5:11" x14ac:dyDescent="0.35">
      <c r="E625" s="3"/>
      <c r="F625" s="3"/>
      <c r="H625" s="3"/>
      <c r="K625" s="3"/>
    </row>
    <row r="626" spans="5:11" x14ac:dyDescent="0.35">
      <c r="E626" s="3"/>
      <c r="F626" s="3"/>
      <c r="H626" s="3"/>
      <c r="K626" s="3"/>
    </row>
    <row r="627" spans="5:11" x14ac:dyDescent="0.35">
      <c r="E627" s="3"/>
      <c r="F627" s="3"/>
      <c r="H627" s="3"/>
      <c r="K627" s="3"/>
    </row>
    <row r="628" spans="5:11" x14ac:dyDescent="0.35">
      <c r="E628" s="3"/>
      <c r="F628" s="3"/>
      <c r="H628" s="3"/>
      <c r="K628" s="3"/>
    </row>
    <row r="629" spans="5:11" x14ac:dyDescent="0.35">
      <c r="E629" s="3"/>
      <c r="F629" s="3"/>
      <c r="H629" s="3"/>
      <c r="K629" s="3"/>
    </row>
    <row r="630" spans="5:11" x14ac:dyDescent="0.35">
      <c r="E630" s="3"/>
      <c r="F630" s="3"/>
      <c r="H630" s="3"/>
      <c r="K630" s="3"/>
    </row>
    <row r="631" spans="5:11" x14ac:dyDescent="0.35">
      <c r="E631" s="3"/>
      <c r="F631" s="3"/>
      <c r="H631" s="3"/>
      <c r="K631" s="3"/>
    </row>
    <row r="632" spans="5:11" x14ac:dyDescent="0.35">
      <c r="E632" s="3"/>
      <c r="F632" s="3"/>
      <c r="H632" s="3"/>
      <c r="K632" s="3"/>
    </row>
    <row r="633" spans="5:11" x14ac:dyDescent="0.35">
      <c r="E633" s="3"/>
      <c r="F633" s="3"/>
      <c r="H633" s="3"/>
      <c r="K633" s="3"/>
    </row>
    <row r="634" spans="5:11" x14ac:dyDescent="0.35">
      <c r="E634" s="3"/>
      <c r="F634" s="3"/>
      <c r="H634" s="3"/>
      <c r="K634" s="3"/>
    </row>
    <row r="635" spans="5:11" x14ac:dyDescent="0.35">
      <c r="E635" s="3"/>
      <c r="F635" s="3"/>
      <c r="H635" s="3"/>
      <c r="K635" s="3"/>
    </row>
    <row r="636" spans="5:11" x14ac:dyDescent="0.35">
      <c r="E636" s="3"/>
      <c r="F636" s="3"/>
      <c r="H636" s="3"/>
      <c r="K636" s="3"/>
    </row>
    <row r="637" spans="5:11" x14ac:dyDescent="0.35">
      <c r="E637" s="3"/>
      <c r="F637" s="3"/>
      <c r="H637" s="3"/>
      <c r="K637" s="3"/>
    </row>
    <row r="638" spans="5:11" x14ac:dyDescent="0.35">
      <c r="E638" s="3"/>
      <c r="F638" s="3"/>
      <c r="H638" s="3"/>
      <c r="K638" s="3"/>
    </row>
    <row r="639" spans="5:11" x14ac:dyDescent="0.35">
      <c r="E639" s="3"/>
      <c r="F639" s="3"/>
      <c r="H639" s="3"/>
      <c r="K639" s="3"/>
    </row>
    <row r="640" spans="5:11" x14ac:dyDescent="0.35">
      <c r="E640" s="3"/>
      <c r="F640" s="3"/>
      <c r="H640" s="3"/>
      <c r="K640" s="3"/>
    </row>
    <row r="641" spans="5:11" x14ac:dyDescent="0.35">
      <c r="E641" s="3"/>
      <c r="F641" s="3"/>
      <c r="H641" s="3"/>
      <c r="K641" s="3"/>
    </row>
    <row r="642" spans="5:11" x14ac:dyDescent="0.35">
      <c r="E642" s="3"/>
      <c r="F642" s="3"/>
      <c r="H642" s="3"/>
      <c r="K642" s="3"/>
    </row>
    <row r="643" spans="5:11" x14ac:dyDescent="0.35">
      <c r="E643" s="3"/>
      <c r="F643" s="3"/>
      <c r="H643" s="3"/>
      <c r="K643" s="3"/>
    </row>
    <row r="644" spans="5:11" x14ac:dyDescent="0.35">
      <c r="E644" s="3"/>
      <c r="F644" s="3"/>
      <c r="H644" s="3"/>
      <c r="K644" s="3"/>
    </row>
    <row r="645" spans="5:11" x14ac:dyDescent="0.35">
      <c r="E645" s="3"/>
      <c r="F645" s="3"/>
      <c r="H645" s="3"/>
      <c r="K645" s="3"/>
    </row>
    <row r="646" spans="5:11" x14ac:dyDescent="0.35">
      <c r="E646" s="3"/>
      <c r="F646" s="3"/>
      <c r="H646" s="3"/>
      <c r="K646" s="3"/>
    </row>
    <row r="647" spans="5:11" x14ac:dyDescent="0.35">
      <c r="E647" s="3"/>
      <c r="F647" s="3"/>
      <c r="H647" s="3"/>
      <c r="K647" s="3"/>
    </row>
    <row r="648" spans="5:11" x14ac:dyDescent="0.35">
      <c r="E648" s="3"/>
      <c r="F648" s="3"/>
      <c r="H648" s="3"/>
      <c r="K648" s="3"/>
    </row>
    <row r="649" spans="5:11" x14ac:dyDescent="0.35">
      <c r="E649" s="3"/>
      <c r="F649" s="3"/>
      <c r="H649" s="3"/>
      <c r="K649" s="3"/>
    </row>
    <row r="650" spans="5:11" x14ac:dyDescent="0.35">
      <c r="E650" s="3"/>
      <c r="F650" s="3"/>
      <c r="H650" s="3"/>
      <c r="K650" s="3"/>
    </row>
    <row r="651" spans="5:11" x14ac:dyDescent="0.35">
      <c r="E651" s="3"/>
      <c r="F651" s="3"/>
      <c r="H651" s="3"/>
      <c r="K651" s="3"/>
    </row>
    <row r="652" spans="5:11" x14ac:dyDescent="0.35">
      <c r="E652" s="3"/>
      <c r="F652" s="3"/>
      <c r="H652" s="3"/>
      <c r="K652" s="3"/>
    </row>
    <row r="653" spans="5:11" x14ac:dyDescent="0.35">
      <c r="E653" s="3"/>
      <c r="F653" s="3"/>
      <c r="H653" s="3"/>
      <c r="K653" s="3"/>
    </row>
    <row r="654" spans="5:11" x14ac:dyDescent="0.35">
      <c r="E654" s="3"/>
      <c r="F654" s="3"/>
      <c r="H654" s="3"/>
      <c r="K654" s="3"/>
    </row>
    <row r="655" spans="5:11" x14ac:dyDescent="0.35">
      <c r="E655" s="3"/>
      <c r="F655" s="3"/>
      <c r="H655" s="3"/>
      <c r="K655" s="3"/>
    </row>
    <row r="656" spans="5:11" x14ac:dyDescent="0.35">
      <c r="E656" s="3"/>
      <c r="F656" s="3"/>
      <c r="H656" s="3"/>
      <c r="K656" s="3"/>
    </row>
    <row r="657" spans="5:11" x14ac:dyDescent="0.35">
      <c r="E657" s="3"/>
      <c r="F657" s="3"/>
      <c r="H657" s="3"/>
      <c r="K657" s="3"/>
    </row>
    <row r="658" spans="5:11" x14ac:dyDescent="0.35">
      <c r="E658" s="3"/>
      <c r="F658" s="3"/>
      <c r="H658" s="3"/>
      <c r="K658" s="3"/>
    </row>
    <row r="659" spans="5:11" x14ac:dyDescent="0.35">
      <c r="E659" s="3"/>
      <c r="F659" s="3"/>
      <c r="H659" s="3"/>
      <c r="K659" s="3"/>
    </row>
    <row r="660" spans="5:11" x14ac:dyDescent="0.35">
      <c r="E660" s="3"/>
      <c r="F660" s="3"/>
      <c r="H660" s="3"/>
      <c r="K660" s="3"/>
    </row>
    <row r="661" spans="5:11" x14ac:dyDescent="0.35">
      <c r="E661" s="3"/>
      <c r="F661" s="3"/>
      <c r="H661" s="3"/>
      <c r="K661" s="3"/>
    </row>
    <row r="662" spans="5:11" x14ac:dyDescent="0.35">
      <c r="E662" s="3"/>
      <c r="F662" s="3"/>
      <c r="H662" s="3"/>
      <c r="K662" s="3"/>
    </row>
    <row r="663" spans="5:11" x14ac:dyDescent="0.35">
      <c r="E663" s="3"/>
      <c r="F663" s="3"/>
      <c r="H663" s="3"/>
      <c r="K663" s="3"/>
    </row>
    <row r="664" spans="5:11" x14ac:dyDescent="0.35">
      <c r="E664" s="3"/>
      <c r="F664" s="3"/>
      <c r="H664" s="3"/>
      <c r="K664" s="3"/>
    </row>
    <row r="665" spans="5:11" x14ac:dyDescent="0.35">
      <c r="E665" s="3"/>
      <c r="F665" s="3"/>
      <c r="H665" s="3"/>
      <c r="K665" s="3"/>
    </row>
    <row r="666" spans="5:11" x14ac:dyDescent="0.35">
      <c r="E666" s="3"/>
      <c r="F666" s="3"/>
      <c r="H666" s="3"/>
      <c r="K666" s="3"/>
    </row>
    <row r="667" spans="5:11" x14ac:dyDescent="0.35">
      <c r="E667" s="3"/>
      <c r="F667" s="3"/>
      <c r="H667" s="3"/>
      <c r="K667" s="3"/>
    </row>
    <row r="668" spans="5:11" x14ac:dyDescent="0.35">
      <c r="E668" s="3"/>
      <c r="F668" s="3"/>
      <c r="H668" s="3"/>
      <c r="K668" s="3"/>
    </row>
    <row r="669" spans="5:11" x14ac:dyDescent="0.35">
      <c r="E669" s="3"/>
      <c r="F669" s="3"/>
      <c r="H669" s="3"/>
      <c r="K669" s="3"/>
    </row>
    <row r="670" spans="5:11" x14ac:dyDescent="0.35">
      <c r="E670" s="3"/>
      <c r="F670" s="3"/>
      <c r="H670" s="3"/>
      <c r="K670" s="3"/>
    </row>
    <row r="671" spans="5:11" x14ac:dyDescent="0.35">
      <c r="E671" s="3"/>
      <c r="F671" s="3"/>
      <c r="H671" s="3"/>
      <c r="K671" s="3"/>
    </row>
    <row r="672" spans="5:11" x14ac:dyDescent="0.35">
      <c r="E672" s="3"/>
      <c r="F672" s="3"/>
      <c r="H672" s="3"/>
      <c r="K672" s="3"/>
    </row>
    <row r="673" spans="5:11" x14ac:dyDescent="0.35">
      <c r="E673" s="3"/>
      <c r="F673" s="3"/>
      <c r="H673" s="3"/>
      <c r="K673" s="3"/>
    </row>
    <row r="674" spans="5:11" x14ac:dyDescent="0.35">
      <c r="E674" s="3"/>
      <c r="F674" s="3"/>
      <c r="H674" s="3"/>
      <c r="K674" s="3"/>
    </row>
    <row r="675" spans="5:11" x14ac:dyDescent="0.35">
      <c r="E675" s="3"/>
      <c r="F675" s="3"/>
      <c r="H675" s="3"/>
      <c r="K675" s="3"/>
    </row>
    <row r="676" spans="5:11" x14ac:dyDescent="0.35">
      <c r="E676" s="3"/>
      <c r="F676" s="3"/>
      <c r="H676" s="3"/>
      <c r="K676" s="3"/>
    </row>
    <row r="677" spans="5:11" x14ac:dyDescent="0.35">
      <c r="E677" s="3"/>
      <c r="F677" s="3"/>
      <c r="H677" s="3"/>
      <c r="K677" s="3"/>
    </row>
    <row r="678" spans="5:11" x14ac:dyDescent="0.35">
      <c r="E678" s="3"/>
      <c r="F678" s="3"/>
      <c r="H678" s="3"/>
      <c r="K678" s="3"/>
    </row>
    <row r="679" spans="5:11" x14ac:dyDescent="0.35">
      <c r="E679" s="3"/>
      <c r="F679" s="3"/>
      <c r="H679" s="3"/>
      <c r="K679" s="3"/>
    </row>
    <row r="680" spans="5:11" x14ac:dyDescent="0.35">
      <c r="E680" s="3"/>
      <c r="F680" s="3"/>
      <c r="H680" s="3"/>
      <c r="K680" s="3"/>
    </row>
    <row r="681" spans="5:11" x14ac:dyDescent="0.35">
      <c r="E681" s="3"/>
      <c r="F681" s="3"/>
      <c r="H681" s="3"/>
      <c r="K681" s="3"/>
    </row>
    <row r="682" spans="5:11" x14ac:dyDescent="0.35">
      <c r="E682" s="3"/>
      <c r="F682" s="3"/>
      <c r="H682" s="3"/>
      <c r="K682" s="3"/>
    </row>
    <row r="683" spans="5:11" x14ac:dyDescent="0.35">
      <c r="E683" s="3"/>
      <c r="F683" s="3"/>
      <c r="H683" s="3"/>
      <c r="K683" s="3"/>
    </row>
    <row r="684" spans="5:11" x14ac:dyDescent="0.35">
      <c r="E684" s="3"/>
      <c r="F684" s="3"/>
      <c r="H684" s="3"/>
      <c r="K684" s="3"/>
    </row>
    <row r="685" spans="5:11" x14ac:dyDescent="0.35">
      <c r="E685" s="3"/>
      <c r="F685" s="3"/>
      <c r="H685" s="3"/>
      <c r="K685" s="3"/>
    </row>
    <row r="686" spans="5:11" x14ac:dyDescent="0.35">
      <c r="E686" s="3"/>
      <c r="F686" s="3"/>
      <c r="H686" s="3"/>
      <c r="K686" s="3"/>
    </row>
    <row r="687" spans="5:11" x14ac:dyDescent="0.35">
      <c r="E687" s="3"/>
      <c r="F687" s="3"/>
      <c r="H687" s="3"/>
      <c r="K687" s="3"/>
    </row>
    <row r="688" spans="5:11" x14ac:dyDescent="0.35">
      <c r="E688" s="3"/>
      <c r="F688" s="3"/>
      <c r="H688" s="3"/>
      <c r="K688" s="3"/>
    </row>
    <row r="689" spans="5:11" x14ac:dyDescent="0.35">
      <c r="E689" s="3"/>
      <c r="F689" s="3"/>
      <c r="H689" s="3"/>
      <c r="K689" s="3"/>
    </row>
    <row r="690" spans="5:11" x14ac:dyDescent="0.35">
      <c r="E690" s="3"/>
      <c r="F690" s="3"/>
      <c r="H690" s="3"/>
      <c r="K690" s="3"/>
    </row>
    <row r="691" spans="5:11" x14ac:dyDescent="0.35">
      <c r="E691" s="3"/>
      <c r="F691" s="3"/>
      <c r="H691" s="3"/>
      <c r="K691" s="3"/>
    </row>
    <row r="692" spans="5:11" x14ac:dyDescent="0.35">
      <c r="E692" s="3"/>
      <c r="F692" s="3"/>
      <c r="H692" s="3"/>
      <c r="K692" s="3"/>
    </row>
    <row r="693" spans="5:11" x14ac:dyDescent="0.35">
      <c r="E693" s="3"/>
      <c r="F693" s="3"/>
      <c r="H693" s="3"/>
      <c r="K693" s="3"/>
    </row>
    <row r="694" spans="5:11" x14ac:dyDescent="0.35">
      <c r="E694" s="3"/>
      <c r="F694" s="3"/>
      <c r="H694" s="3"/>
      <c r="K694" s="3"/>
    </row>
    <row r="695" spans="5:11" x14ac:dyDescent="0.35">
      <c r="E695" s="3"/>
      <c r="F695" s="3"/>
      <c r="H695" s="3"/>
      <c r="K695" s="3"/>
    </row>
    <row r="696" spans="5:11" x14ac:dyDescent="0.35">
      <c r="E696" s="3"/>
      <c r="F696" s="3"/>
      <c r="H696" s="3"/>
      <c r="K696" s="3"/>
    </row>
    <row r="697" spans="5:11" x14ac:dyDescent="0.35">
      <c r="E697" s="3"/>
      <c r="F697" s="3"/>
      <c r="H697" s="3"/>
      <c r="K697" s="3"/>
    </row>
    <row r="698" spans="5:11" x14ac:dyDescent="0.35">
      <c r="E698" s="3"/>
      <c r="F698" s="3"/>
      <c r="H698" s="3"/>
      <c r="K698" s="3"/>
    </row>
    <row r="699" spans="5:11" x14ac:dyDescent="0.35">
      <c r="E699" s="3"/>
      <c r="F699" s="3"/>
      <c r="H699" s="3"/>
      <c r="K699" s="3"/>
    </row>
    <row r="700" spans="5:11" x14ac:dyDescent="0.35">
      <c r="E700" s="3"/>
      <c r="F700" s="3"/>
      <c r="H700" s="3"/>
      <c r="K700" s="3"/>
    </row>
    <row r="701" spans="5:11" x14ac:dyDescent="0.35">
      <c r="E701" s="3"/>
      <c r="F701" s="3"/>
      <c r="H701" s="3"/>
      <c r="K701" s="3"/>
    </row>
    <row r="702" spans="5:11" x14ac:dyDescent="0.35">
      <c r="E702" s="3"/>
      <c r="F702" s="3"/>
      <c r="H702" s="3"/>
      <c r="K702" s="3"/>
    </row>
    <row r="703" spans="5:11" x14ac:dyDescent="0.35">
      <c r="E703" s="3"/>
      <c r="F703" s="3"/>
      <c r="H703" s="3"/>
      <c r="K703" s="3"/>
    </row>
    <row r="704" spans="5:11" x14ac:dyDescent="0.35">
      <c r="E704" s="3"/>
      <c r="F704" s="3"/>
      <c r="H704" s="3"/>
      <c r="K704" s="3"/>
    </row>
    <row r="705" spans="5:11" x14ac:dyDescent="0.35">
      <c r="E705" s="3"/>
      <c r="F705" s="3"/>
      <c r="H705" s="3"/>
      <c r="K705" s="3"/>
    </row>
    <row r="706" spans="5:11" x14ac:dyDescent="0.35">
      <c r="E706" s="3"/>
      <c r="F706" s="3"/>
      <c r="H706" s="3"/>
      <c r="K706" s="3"/>
    </row>
    <row r="707" spans="5:11" x14ac:dyDescent="0.35">
      <c r="E707" s="3"/>
      <c r="F707" s="3"/>
      <c r="H707" s="3"/>
      <c r="K707" s="3"/>
    </row>
    <row r="708" spans="5:11" x14ac:dyDescent="0.35">
      <c r="E708" s="3"/>
      <c r="F708" s="3"/>
      <c r="H708" s="3"/>
      <c r="K708" s="3"/>
    </row>
    <row r="709" spans="5:11" x14ac:dyDescent="0.35">
      <c r="E709" s="3"/>
      <c r="F709" s="3"/>
      <c r="H709" s="3"/>
      <c r="K709" s="3"/>
    </row>
    <row r="710" spans="5:11" x14ac:dyDescent="0.35">
      <c r="E710" s="3"/>
      <c r="F710" s="3"/>
      <c r="H710" s="3"/>
      <c r="K710" s="3"/>
    </row>
    <row r="711" spans="5:11" x14ac:dyDescent="0.35">
      <c r="E711" s="3"/>
      <c r="F711" s="3"/>
      <c r="H711" s="3"/>
      <c r="K711" s="3"/>
    </row>
    <row r="712" spans="5:11" x14ac:dyDescent="0.35">
      <c r="E712" s="3"/>
      <c r="F712" s="3"/>
      <c r="H712" s="3"/>
      <c r="K712" s="3"/>
    </row>
    <row r="713" spans="5:11" x14ac:dyDescent="0.35">
      <c r="E713" s="3"/>
      <c r="F713" s="3"/>
      <c r="H713" s="3"/>
      <c r="K713" s="3"/>
    </row>
    <row r="714" spans="5:11" x14ac:dyDescent="0.35">
      <c r="E714" s="3"/>
      <c r="F714" s="3"/>
      <c r="H714" s="3"/>
      <c r="K714" s="3"/>
    </row>
    <row r="715" spans="5:11" x14ac:dyDescent="0.35">
      <c r="E715" s="3"/>
      <c r="F715" s="3"/>
      <c r="H715" s="3"/>
      <c r="K715" s="3"/>
    </row>
    <row r="716" spans="5:11" x14ac:dyDescent="0.35">
      <c r="E716" s="3"/>
      <c r="F716" s="3"/>
      <c r="H716" s="3"/>
      <c r="K716" s="3"/>
    </row>
    <row r="717" spans="5:11" x14ac:dyDescent="0.35">
      <c r="E717" s="3"/>
      <c r="F717" s="3"/>
      <c r="H717" s="3"/>
      <c r="K717" s="3"/>
    </row>
    <row r="718" spans="5:11" x14ac:dyDescent="0.35">
      <c r="E718" s="3"/>
      <c r="F718" s="3"/>
      <c r="H718" s="3"/>
      <c r="K718" s="3"/>
    </row>
    <row r="719" spans="5:11" x14ac:dyDescent="0.35">
      <c r="E719" s="3"/>
      <c r="F719" s="3"/>
      <c r="H719" s="3"/>
      <c r="K719" s="3"/>
    </row>
    <row r="720" spans="5:11" x14ac:dyDescent="0.35">
      <c r="E720" s="3"/>
      <c r="F720" s="3"/>
      <c r="H720" s="3"/>
      <c r="K720" s="3"/>
    </row>
    <row r="721" spans="5:11" x14ac:dyDescent="0.35">
      <c r="E721" s="3"/>
      <c r="F721" s="3"/>
      <c r="H721" s="3"/>
      <c r="K721" s="3"/>
    </row>
    <row r="722" spans="5:11" x14ac:dyDescent="0.35">
      <c r="E722" s="3"/>
      <c r="F722" s="3"/>
      <c r="H722" s="3"/>
      <c r="K722" s="3"/>
    </row>
    <row r="723" spans="5:11" x14ac:dyDescent="0.35">
      <c r="E723" s="3"/>
      <c r="F723" s="3"/>
      <c r="H723" s="3"/>
      <c r="K723" s="3"/>
    </row>
    <row r="724" spans="5:11" x14ac:dyDescent="0.35">
      <c r="E724" s="3"/>
      <c r="F724" s="3"/>
      <c r="H724" s="3"/>
      <c r="K724" s="3"/>
    </row>
    <row r="725" spans="5:11" x14ac:dyDescent="0.35">
      <c r="E725" s="3"/>
      <c r="F725" s="3"/>
      <c r="H725" s="3"/>
      <c r="K725" s="3"/>
    </row>
    <row r="726" spans="5:11" x14ac:dyDescent="0.35">
      <c r="E726" s="3"/>
      <c r="F726" s="3"/>
      <c r="H726" s="3"/>
      <c r="K726" s="3"/>
    </row>
    <row r="727" spans="5:11" x14ac:dyDescent="0.35">
      <c r="E727" s="3"/>
      <c r="F727" s="3"/>
      <c r="H727" s="3"/>
      <c r="K727" s="3"/>
    </row>
    <row r="728" spans="5:11" x14ac:dyDescent="0.35">
      <c r="E728" s="3"/>
      <c r="F728" s="3"/>
      <c r="H728" s="3"/>
      <c r="K728" s="3"/>
    </row>
    <row r="729" spans="5:11" x14ac:dyDescent="0.35">
      <c r="E729" s="3"/>
      <c r="F729" s="3"/>
      <c r="H729" s="3"/>
      <c r="K729" s="3"/>
    </row>
    <row r="730" spans="5:11" x14ac:dyDescent="0.35">
      <c r="E730" s="3"/>
      <c r="F730" s="3"/>
      <c r="H730" s="3"/>
      <c r="K730" s="3"/>
    </row>
    <row r="731" spans="5:11" x14ac:dyDescent="0.35">
      <c r="E731" s="3"/>
      <c r="F731" s="3"/>
      <c r="H731" s="3"/>
      <c r="K731" s="3"/>
    </row>
    <row r="732" spans="5:11" x14ac:dyDescent="0.35">
      <c r="E732" s="3"/>
      <c r="F732" s="3"/>
      <c r="H732" s="3"/>
      <c r="K732" s="3"/>
    </row>
    <row r="733" spans="5:11" x14ac:dyDescent="0.35">
      <c r="E733" s="3"/>
      <c r="F733" s="3"/>
      <c r="H733" s="3"/>
      <c r="K733" s="3"/>
    </row>
    <row r="734" spans="5:11" x14ac:dyDescent="0.35">
      <c r="E734" s="3"/>
      <c r="F734" s="3"/>
      <c r="H734" s="3"/>
      <c r="K734" s="3"/>
    </row>
    <row r="735" spans="5:11" x14ac:dyDescent="0.35">
      <c r="E735" s="3"/>
      <c r="F735" s="3"/>
      <c r="H735" s="3"/>
      <c r="K735" s="3"/>
    </row>
    <row r="736" spans="5:11" x14ac:dyDescent="0.35">
      <c r="E736" s="3"/>
      <c r="F736" s="3"/>
      <c r="H736" s="3"/>
      <c r="K736" s="3"/>
    </row>
    <row r="737" spans="5:11" x14ac:dyDescent="0.35">
      <c r="E737" s="3"/>
      <c r="F737" s="3"/>
      <c r="H737" s="3"/>
      <c r="K737" s="3"/>
    </row>
    <row r="738" spans="5:11" x14ac:dyDescent="0.35">
      <c r="E738" s="3"/>
      <c r="F738" s="3"/>
      <c r="H738" s="3"/>
      <c r="K738" s="3"/>
    </row>
    <row r="739" spans="5:11" x14ac:dyDescent="0.35">
      <c r="E739" s="3"/>
      <c r="F739" s="3"/>
      <c r="H739" s="3"/>
      <c r="K739" s="3"/>
    </row>
    <row r="740" spans="5:11" x14ac:dyDescent="0.35">
      <c r="E740" s="3"/>
      <c r="F740" s="3"/>
      <c r="H740" s="3"/>
      <c r="K740" s="3"/>
    </row>
    <row r="741" spans="5:11" x14ac:dyDescent="0.35">
      <c r="E741" s="3"/>
      <c r="F741" s="3"/>
      <c r="H741" s="3"/>
      <c r="K741" s="3"/>
    </row>
    <row r="742" spans="5:11" x14ac:dyDescent="0.35">
      <c r="E742" s="3"/>
      <c r="F742" s="3"/>
      <c r="H742" s="3"/>
      <c r="K742" s="3"/>
    </row>
    <row r="743" spans="5:11" x14ac:dyDescent="0.35">
      <c r="E743" s="3"/>
      <c r="F743" s="3"/>
      <c r="H743" s="3"/>
      <c r="K743" s="3"/>
    </row>
    <row r="744" spans="5:11" x14ac:dyDescent="0.35">
      <c r="E744" s="3"/>
      <c r="F744" s="3"/>
      <c r="H744" s="3"/>
      <c r="K744" s="3"/>
    </row>
    <row r="745" spans="5:11" x14ac:dyDescent="0.35">
      <c r="E745" s="3"/>
      <c r="F745" s="3"/>
      <c r="H745" s="3"/>
      <c r="K745" s="3"/>
    </row>
    <row r="746" spans="5:11" x14ac:dyDescent="0.35">
      <c r="E746" s="3"/>
      <c r="F746" s="3"/>
      <c r="H746" s="3"/>
      <c r="K746" s="3"/>
    </row>
    <row r="747" spans="5:11" x14ac:dyDescent="0.35">
      <c r="E747" s="3"/>
      <c r="F747" s="3"/>
      <c r="H747" s="3"/>
      <c r="K747" s="3"/>
    </row>
    <row r="748" spans="5:11" x14ac:dyDescent="0.35">
      <c r="E748" s="3"/>
      <c r="F748" s="3"/>
      <c r="H748" s="3"/>
      <c r="K748" s="3"/>
    </row>
    <row r="749" spans="5:11" x14ac:dyDescent="0.35">
      <c r="E749" s="3"/>
      <c r="F749" s="3"/>
      <c r="H749" s="3"/>
      <c r="K749" s="3"/>
    </row>
    <row r="750" spans="5:11" x14ac:dyDescent="0.35">
      <c r="E750" s="3"/>
      <c r="F750" s="3"/>
      <c r="H750" s="3"/>
      <c r="K750" s="3"/>
    </row>
    <row r="751" spans="5:11" x14ac:dyDescent="0.35">
      <c r="E751" s="3"/>
      <c r="F751" s="3"/>
      <c r="H751" s="3"/>
      <c r="K751" s="3"/>
    </row>
    <row r="752" spans="5:11" x14ac:dyDescent="0.35">
      <c r="E752" s="3"/>
      <c r="F752" s="3"/>
      <c r="H752" s="3"/>
      <c r="K752" s="3"/>
    </row>
    <row r="753" spans="5:11" x14ac:dyDescent="0.35">
      <c r="E753" s="3"/>
      <c r="F753" s="3"/>
      <c r="H753" s="3"/>
      <c r="K753" s="3"/>
    </row>
    <row r="754" spans="5:11" x14ac:dyDescent="0.35">
      <c r="E754" s="3"/>
      <c r="F754" s="3"/>
      <c r="H754" s="3"/>
      <c r="K754" s="3"/>
    </row>
    <row r="755" spans="5:11" x14ac:dyDescent="0.35">
      <c r="E755" s="3"/>
      <c r="F755" s="3"/>
      <c r="H755" s="3"/>
      <c r="K755" s="3"/>
    </row>
    <row r="756" spans="5:11" x14ac:dyDescent="0.35">
      <c r="E756" s="3"/>
      <c r="F756" s="3"/>
      <c r="H756" s="3"/>
      <c r="K756" s="3"/>
    </row>
    <row r="757" spans="5:11" x14ac:dyDescent="0.35">
      <c r="E757" s="3"/>
      <c r="F757" s="3"/>
      <c r="H757" s="3"/>
      <c r="K757" s="3"/>
    </row>
    <row r="758" spans="5:11" x14ac:dyDescent="0.35">
      <c r="E758" s="3"/>
      <c r="F758" s="3"/>
      <c r="H758" s="3"/>
      <c r="K758" s="3"/>
    </row>
    <row r="759" spans="5:11" x14ac:dyDescent="0.35">
      <c r="E759" s="3"/>
      <c r="F759" s="3"/>
      <c r="H759" s="3"/>
      <c r="K759" s="3"/>
    </row>
    <row r="760" spans="5:11" x14ac:dyDescent="0.35">
      <c r="E760" s="3"/>
      <c r="F760" s="3"/>
      <c r="H760" s="3"/>
      <c r="K760" s="3"/>
    </row>
    <row r="761" spans="5:11" x14ac:dyDescent="0.35">
      <c r="E761" s="3"/>
      <c r="F761" s="3"/>
      <c r="H761" s="3"/>
      <c r="K761" s="3"/>
    </row>
    <row r="762" spans="5:11" x14ac:dyDescent="0.35">
      <c r="E762" s="3"/>
      <c r="F762" s="3"/>
      <c r="H762" s="3"/>
      <c r="K762" s="3"/>
    </row>
    <row r="763" spans="5:11" x14ac:dyDescent="0.35">
      <c r="E763" s="3"/>
      <c r="F763" s="3"/>
      <c r="H763" s="3"/>
      <c r="K763" s="3"/>
    </row>
    <row r="764" spans="5:11" x14ac:dyDescent="0.35">
      <c r="E764" s="3"/>
      <c r="F764" s="3"/>
      <c r="H764" s="3"/>
      <c r="K764" s="3"/>
    </row>
    <row r="765" spans="5:11" x14ac:dyDescent="0.35">
      <c r="E765" s="3"/>
      <c r="F765" s="3"/>
      <c r="H765" s="3"/>
      <c r="K765" s="3"/>
    </row>
    <row r="766" spans="5:11" x14ac:dyDescent="0.35">
      <c r="E766" s="3"/>
      <c r="F766" s="3"/>
      <c r="H766" s="3"/>
      <c r="K766" s="3"/>
    </row>
    <row r="767" spans="5:11" x14ac:dyDescent="0.35">
      <c r="E767" s="3"/>
      <c r="F767" s="3"/>
      <c r="H767" s="3"/>
      <c r="K767" s="3"/>
    </row>
    <row r="768" spans="5:11" x14ac:dyDescent="0.35">
      <c r="E768" s="3"/>
      <c r="F768" s="3"/>
      <c r="H768" s="3"/>
      <c r="K768" s="3"/>
    </row>
    <row r="769" spans="5:11" x14ac:dyDescent="0.35">
      <c r="E769" s="3"/>
      <c r="F769" s="3"/>
      <c r="H769" s="3"/>
      <c r="K769" s="3"/>
    </row>
    <row r="770" spans="5:11" x14ac:dyDescent="0.35">
      <c r="E770" s="3"/>
      <c r="F770" s="3"/>
      <c r="H770" s="3"/>
      <c r="K770" s="3"/>
    </row>
    <row r="771" spans="5:11" x14ac:dyDescent="0.35">
      <c r="E771" s="3"/>
      <c r="F771" s="3"/>
      <c r="H771" s="3"/>
      <c r="K771" s="3"/>
    </row>
    <row r="772" spans="5:11" x14ac:dyDescent="0.35">
      <c r="E772" s="3"/>
      <c r="F772" s="3"/>
      <c r="H772" s="3"/>
      <c r="K772" s="3"/>
    </row>
    <row r="773" spans="5:11" x14ac:dyDescent="0.35">
      <c r="E773" s="3"/>
      <c r="F773" s="3"/>
      <c r="H773" s="3"/>
      <c r="K773" s="3"/>
    </row>
    <row r="774" spans="5:11" x14ac:dyDescent="0.35">
      <c r="E774" s="3"/>
      <c r="F774" s="3"/>
      <c r="H774" s="3"/>
      <c r="K774" s="3"/>
    </row>
    <row r="775" spans="5:11" x14ac:dyDescent="0.35">
      <c r="E775" s="3"/>
      <c r="F775" s="3"/>
      <c r="H775" s="3"/>
      <c r="K775" s="3"/>
    </row>
    <row r="776" spans="5:11" x14ac:dyDescent="0.35">
      <c r="E776" s="3"/>
      <c r="F776" s="3"/>
      <c r="H776" s="3"/>
      <c r="K776" s="3"/>
    </row>
    <row r="777" spans="5:11" x14ac:dyDescent="0.35">
      <c r="E777" s="3"/>
      <c r="F777" s="3"/>
      <c r="H777" s="3"/>
      <c r="K777" s="3"/>
    </row>
    <row r="778" spans="5:11" x14ac:dyDescent="0.35">
      <c r="E778" s="3"/>
      <c r="F778" s="3"/>
      <c r="H778" s="3"/>
      <c r="K778" s="3"/>
    </row>
    <row r="779" spans="5:11" x14ac:dyDescent="0.35">
      <c r="E779" s="3"/>
      <c r="F779" s="3"/>
      <c r="H779" s="3"/>
      <c r="K779" s="3"/>
    </row>
    <row r="780" spans="5:11" x14ac:dyDescent="0.35">
      <c r="E780" s="3"/>
      <c r="F780" s="3"/>
      <c r="H780" s="3"/>
      <c r="K780" s="3"/>
    </row>
    <row r="781" spans="5:11" x14ac:dyDescent="0.35">
      <c r="E781" s="3"/>
      <c r="F781" s="3"/>
      <c r="H781" s="3"/>
      <c r="K781" s="3"/>
    </row>
    <row r="782" spans="5:11" x14ac:dyDescent="0.35">
      <c r="E782" s="3"/>
      <c r="F782" s="3"/>
      <c r="H782" s="3"/>
      <c r="K782" s="3"/>
    </row>
    <row r="783" spans="5:11" x14ac:dyDescent="0.35">
      <c r="E783" s="3"/>
      <c r="F783" s="3"/>
      <c r="H783" s="3"/>
      <c r="K783" s="3"/>
    </row>
    <row r="784" spans="5:11" x14ac:dyDescent="0.35">
      <c r="E784" s="3"/>
      <c r="F784" s="3"/>
      <c r="H784" s="3"/>
      <c r="K784" s="3"/>
    </row>
    <row r="785" spans="5:11" x14ac:dyDescent="0.35">
      <c r="E785" s="3"/>
      <c r="F785" s="3"/>
      <c r="H785" s="3"/>
      <c r="K785" s="3"/>
    </row>
    <row r="786" spans="5:11" x14ac:dyDescent="0.35">
      <c r="E786" s="3"/>
      <c r="F786" s="3"/>
      <c r="H786" s="3"/>
      <c r="K786" s="3"/>
    </row>
    <row r="787" spans="5:11" x14ac:dyDescent="0.35">
      <c r="E787" s="3"/>
      <c r="F787" s="3"/>
      <c r="H787" s="3"/>
      <c r="K787" s="3"/>
    </row>
    <row r="788" spans="5:11" x14ac:dyDescent="0.35">
      <c r="E788" s="3"/>
      <c r="F788" s="3"/>
      <c r="H788" s="3"/>
      <c r="K788" s="3"/>
    </row>
    <row r="789" spans="5:11" x14ac:dyDescent="0.35">
      <c r="E789" s="3"/>
      <c r="F789" s="3"/>
      <c r="H789" s="3"/>
      <c r="K789" s="3"/>
    </row>
    <row r="790" spans="5:11" x14ac:dyDescent="0.35">
      <c r="E790" s="3"/>
      <c r="F790" s="3"/>
      <c r="H790" s="3"/>
      <c r="K790" s="3"/>
    </row>
    <row r="791" spans="5:11" x14ac:dyDescent="0.35">
      <c r="E791" s="3"/>
      <c r="F791" s="3"/>
      <c r="H791" s="3"/>
      <c r="K791" s="3"/>
    </row>
    <row r="792" spans="5:11" x14ac:dyDescent="0.35">
      <c r="E792" s="3"/>
      <c r="F792" s="3"/>
      <c r="H792" s="3"/>
      <c r="K792" s="3"/>
    </row>
    <row r="793" spans="5:11" x14ac:dyDescent="0.35">
      <c r="E793" s="3"/>
      <c r="F793" s="3"/>
      <c r="H793" s="3"/>
      <c r="K793" s="3"/>
    </row>
    <row r="794" spans="5:11" x14ac:dyDescent="0.35">
      <c r="E794" s="3"/>
      <c r="F794" s="3"/>
      <c r="H794" s="3"/>
      <c r="K794" s="3"/>
    </row>
    <row r="795" spans="5:11" x14ac:dyDescent="0.35">
      <c r="E795" s="3"/>
      <c r="F795" s="3"/>
      <c r="H795" s="3"/>
      <c r="K795" s="3"/>
    </row>
    <row r="796" spans="5:11" x14ac:dyDescent="0.35">
      <c r="E796" s="3"/>
      <c r="F796" s="3"/>
      <c r="H796" s="3"/>
      <c r="K796" s="3"/>
    </row>
    <row r="797" spans="5:11" x14ac:dyDescent="0.35">
      <c r="E797" s="3"/>
      <c r="F797" s="3"/>
      <c r="H797" s="3"/>
      <c r="K797" s="3"/>
    </row>
    <row r="798" spans="5:11" x14ac:dyDescent="0.35">
      <c r="E798" s="3"/>
      <c r="F798" s="3"/>
      <c r="H798" s="3"/>
      <c r="K798" s="3"/>
    </row>
    <row r="799" spans="5:11" x14ac:dyDescent="0.35">
      <c r="E799" s="3"/>
      <c r="F799" s="3"/>
      <c r="H799" s="3"/>
      <c r="K799" s="3"/>
    </row>
    <row r="800" spans="5:11" x14ac:dyDescent="0.35">
      <c r="E800" s="3"/>
      <c r="F800" s="3"/>
      <c r="H800" s="3"/>
      <c r="K800" s="3"/>
    </row>
    <row r="801" spans="5:11" x14ac:dyDescent="0.35">
      <c r="E801" s="3"/>
      <c r="F801" s="3"/>
      <c r="H801" s="3"/>
      <c r="K801" s="3"/>
    </row>
    <row r="802" spans="5:11" x14ac:dyDescent="0.35">
      <c r="E802" s="3"/>
      <c r="F802" s="3"/>
      <c r="H802" s="3"/>
      <c r="K802" s="3"/>
    </row>
    <row r="803" spans="5:11" x14ac:dyDescent="0.35">
      <c r="E803" s="3"/>
      <c r="F803" s="3"/>
      <c r="H803" s="3"/>
      <c r="K803" s="3"/>
    </row>
    <row r="804" spans="5:11" x14ac:dyDescent="0.35">
      <c r="E804" s="3"/>
      <c r="F804" s="3"/>
      <c r="H804" s="3"/>
      <c r="K804" s="3"/>
    </row>
    <row r="805" spans="5:11" x14ac:dyDescent="0.35">
      <c r="E805" s="3"/>
      <c r="F805" s="3"/>
      <c r="H805" s="3"/>
      <c r="K805" s="3"/>
    </row>
    <row r="806" spans="5:11" x14ac:dyDescent="0.35">
      <c r="E806" s="3"/>
      <c r="F806" s="3"/>
      <c r="H806" s="3"/>
      <c r="K806" s="3"/>
    </row>
    <row r="807" spans="5:11" x14ac:dyDescent="0.35">
      <c r="E807" s="3"/>
      <c r="F807" s="3"/>
      <c r="H807" s="3"/>
      <c r="K807" s="3"/>
    </row>
    <row r="808" spans="5:11" x14ac:dyDescent="0.35">
      <c r="E808" s="3"/>
      <c r="F808" s="3"/>
      <c r="H808" s="3"/>
      <c r="K808" s="3"/>
    </row>
    <row r="809" spans="5:11" x14ac:dyDescent="0.35">
      <c r="E809" s="3"/>
      <c r="F809" s="3"/>
      <c r="H809" s="3"/>
      <c r="K809" s="3"/>
    </row>
    <row r="810" spans="5:11" x14ac:dyDescent="0.35">
      <c r="E810" s="3"/>
      <c r="F810" s="3"/>
      <c r="H810" s="3"/>
      <c r="K810" s="3"/>
    </row>
    <row r="811" spans="5:11" x14ac:dyDescent="0.35">
      <c r="E811" s="3"/>
      <c r="F811" s="3"/>
      <c r="H811" s="3"/>
      <c r="K811" s="3"/>
    </row>
    <row r="812" spans="5:11" x14ac:dyDescent="0.35">
      <c r="E812" s="3"/>
      <c r="F812" s="3"/>
      <c r="H812" s="3"/>
      <c r="K812" s="3"/>
    </row>
    <row r="813" spans="5:11" x14ac:dyDescent="0.35">
      <c r="E813" s="3"/>
      <c r="F813" s="3"/>
      <c r="H813" s="3"/>
      <c r="K813" s="3"/>
    </row>
    <row r="814" spans="5:11" x14ac:dyDescent="0.35">
      <c r="E814" s="3"/>
      <c r="F814" s="3"/>
      <c r="H814" s="3"/>
      <c r="K814" s="3"/>
    </row>
    <row r="815" spans="5:11" x14ac:dyDescent="0.35">
      <c r="E815" s="3"/>
      <c r="F815" s="3"/>
      <c r="H815" s="3"/>
      <c r="K815" s="3"/>
    </row>
    <row r="816" spans="5:11" x14ac:dyDescent="0.35">
      <c r="E816" s="3"/>
      <c r="F816" s="3"/>
      <c r="H816" s="3"/>
      <c r="K816" s="3"/>
    </row>
    <row r="817" spans="5:11" x14ac:dyDescent="0.35">
      <c r="E817" s="3"/>
      <c r="F817" s="3"/>
      <c r="H817" s="3"/>
      <c r="K817" s="3"/>
    </row>
    <row r="818" spans="5:11" x14ac:dyDescent="0.35">
      <c r="E818" s="3"/>
      <c r="F818" s="3"/>
      <c r="H818" s="3"/>
      <c r="K818" s="3"/>
    </row>
    <row r="819" spans="5:11" x14ac:dyDescent="0.35">
      <c r="E819" s="3"/>
      <c r="F819" s="3"/>
      <c r="H819" s="3"/>
      <c r="K819" s="3"/>
    </row>
    <row r="820" spans="5:11" x14ac:dyDescent="0.35">
      <c r="E820" s="3"/>
      <c r="F820" s="3"/>
      <c r="H820" s="3"/>
      <c r="K820" s="3"/>
    </row>
    <row r="821" spans="5:11" x14ac:dyDescent="0.35">
      <c r="E821" s="3"/>
      <c r="F821" s="3"/>
      <c r="H821" s="3"/>
      <c r="K821" s="3"/>
    </row>
    <row r="822" spans="5:11" x14ac:dyDescent="0.35">
      <c r="E822" s="3"/>
      <c r="F822" s="3"/>
      <c r="H822" s="3"/>
      <c r="K822" s="3"/>
    </row>
    <row r="823" spans="5:11" x14ac:dyDescent="0.35">
      <c r="E823" s="3"/>
      <c r="F823" s="3"/>
      <c r="H823" s="3"/>
      <c r="K823" s="3"/>
    </row>
    <row r="824" spans="5:11" x14ac:dyDescent="0.35">
      <c r="E824" s="3"/>
      <c r="F824" s="3"/>
      <c r="H824" s="3"/>
      <c r="K824" s="3"/>
    </row>
    <row r="825" spans="5:11" x14ac:dyDescent="0.35">
      <c r="E825" s="3"/>
      <c r="F825" s="3"/>
      <c r="H825" s="3"/>
      <c r="K825" s="3"/>
    </row>
    <row r="826" spans="5:11" x14ac:dyDescent="0.35">
      <c r="E826" s="3"/>
      <c r="F826" s="3"/>
      <c r="H826" s="3"/>
      <c r="K826" s="3"/>
    </row>
    <row r="827" spans="5:11" x14ac:dyDescent="0.35">
      <c r="E827" s="3"/>
      <c r="F827" s="3"/>
      <c r="H827" s="3"/>
      <c r="K827" s="3"/>
    </row>
    <row r="828" spans="5:11" x14ac:dyDescent="0.35">
      <c r="E828" s="3"/>
      <c r="F828" s="3"/>
      <c r="H828" s="3"/>
      <c r="K828" s="3"/>
    </row>
    <row r="829" spans="5:11" x14ac:dyDescent="0.35">
      <c r="E829" s="3"/>
      <c r="F829" s="3"/>
      <c r="H829" s="3"/>
      <c r="K829" s="3"/>
    </row>
    <row r="830" spans="5:11" x14ac:dyDescent="0.35">
      <c r="E830" s="3"/>
      <c r="F830" s="3"/>
      <c r="H830" s="3"/>
      <c r="K830" s="3"/>
    </row>
    <row r="831" spans="5:11" x14ac:dyDescent="0.35">
      <c r="E831" s="3"/>
      <c r="F831" s="3"/>
      <c r="H831" s="3"/>
      <c r="K831" s="3"/>
    </row>
    <row r="832" spans="5:11" x14ac:dyDescent="0.35">
      <c r="E832" s="3"/>
      <c r="F832" s="3"/>
      <c r="H832" s="3"/>
      <c r="K832" s="3"/>
    </row>
    <row r="833" spans="5:11" x14ac:dyDescent="0.35">
      <c r="E833" s="3"/>
      <c r="F833" s="3"/>
      <c r="H833" s="3"/>
      <c r="K833" s="3"/>
    </row>
    <row r="834" spans="5:11" x14ac:dyDescent="0.35">
      <c r="E834" s="3"/>
      <c r="F834" s="3"/>
      <c r="H834" s="3"/>
      <c r="K834" s="3"/>
    </row>
    <row r="835" spans="5:11" x14ac:dyDescent="0.35">
      <c r="E835" s="3"/>
      <c r="F835" s="3"/>
      <c r="H835" s="3"/>
      <c r="K835" s="3"/>
    </row>
    <row r="836" spans="5:11" x14ac:dyDescent="0.35">
      <c r="E836" s="3"/>
      <c r="F836" s="3"/>
      <c r="H836" s="3"/>
      <c r="K836" s="3"/>
    </row>
    <row r="837" spans="5:11" x14ac:dyDescent="0.35">
      <c r="E837" s="3"/>
      <c r="F837" s="3"/>
      <c r="H837" s="3"/>
      <c r="K837" s="3"/>
    </row>
    <row r="838" spans="5:11" x14ac:dyDescent="0.35">
      <c r="E838" s="3"/>
      <c r="F838" s="3"/>
      <c r="H838" s="3"/>
      <c r="K838" s="3"/>
    </row>
    <row r="839" spans="5:11" x14ac:dyDescent="0.35">
      <c r="E839" s="3"/>
      <c r="F839" s="3"/>
      <c r="H839" s="3"/>
      <c r="K839" s="3"/>
    </row>
    <row r="840" spans="5:11" x14ac:dyDescent="0.35">
      <c r="E840" s="3"/>
      <c r="F840" s="3"/>
      <c r="H840" s="3"/>
      <c r="K840" s="3"/>
    </row>
    <row r="841" spans="5:11" x14ac:dyDescent="0.35">
      <c r="E841" s="3"/>
      <c r="F841" s="3"/>
      <c r="H841" s="3"/>
      <c r="K841" s="3"/>
    </row>
    <row r="842" spans="5:11" x14ac:dyDescent="0.35">
      <c r="E842" s="3"/>
      <c r="F842" s="3"/>
      <c r="H842" s="3"/>
      <c r="K842" s="3"/>
    </row>
    <row r="843" spans="5:11" x14ac:dyDescent="0.35">
      <c r="E843" s="3"/>
      <c r="F843" s="3"/>
      <c r="H843" s="3"/>
      <c r="K843" s="3"/>
    </row>
    <row r="844" spans="5:11" x14ac:dyDescent="0.35">
      <c r="E844" s="3"/>
      <c r="F844" s="3"/>
      <c r="H844" s="3"/>
      <c r="K844" s="3"/>
    </row>
    <row r="845" spans="5:11" x14ac:dyDescent="0.35">
      <c r="E845" s="3"/>
      <c r="F845" s="3"/>
      <c r="H845" s="3"/>
      <c r="K845" s="3"/>
    </row>
    <row r="846" spans="5:11" x14ac:dyDescent="0.35">
      <c r="E846" s="3"/>
      <c r="F846" s="3"/>
      <c r="H846" s="3"/>
      <c r="K846" s="3"/>
    </row>
    <row r="847" spans="5:11" x14ac:dyDescent="0.35">
      <c r="E847" s="3"/>
      <c r="F847" s="3"/>
      <c r="H847" s="3"/>
      <c r="K847" s="3"/>
    </row>
    <row r="848" spans="5:11" x14ac:dyDescent="0.35">
      <c r="E848" s="3"/>
      <c r="F848" s="3"/>
      <c r="H848" s="3"/>
      <c r="K848" s="3"/>
    </row>
    <row r="849" spans="5:11" x14ac:dyDescent="0.35">
      <c r="E849" s="3"/>
      <c r="F849" s="3"/>
      <c r="H849" s="3"/>
      <c r="K849" s="3"/>
    </row>
    <row r="850" spans="5:11" x14ac:dyDescent="0.35">
      <c r="E850" s="3"/>
      <c r="F850" s="3"/>
      <c r="H850" s="3"/>
      <c r="K850" s="3"/>
    </row>
    <row r="851" spans="5:11" x14ac:dyDescent="0.35">
      <c r="E851" s="3"/>
      <c r="F851" s="3"/>
      <c r="H851" s="3"/>
      <c r="K851" s="3"/>
    </row>
    <row r="852" spans="5:11" x14ac:dyDescent="0.35">
      <c r="E852" s="3"/>
      <c r="F852" s="3"/>
      <c r="H852" s="3"/>
      <c r="K852" s="3"/>
    </row>
    <row r="853" spans="5:11" x14ac:dyDescent="0.35">
      <c r="E853" s="3"/>
      <c r="F853" s="3"/>
      <c r="H853" s="3"/>
      <c r="K853" s="3"/>
    </row>
    <row r="854" spans="5:11" x14ac:dyDescent="0.35">
      <c r="E854" s="3"/>
      <c r="F854" s="3"/>
      <c r="H854" s="3"/>
      <c r="K854" s="3"/>
    </row>
    <row r="855" spans="5:11" x14ac:dyDescent="0.35">
      <c r="E855" s="3"/>
      <c r="F855" s="3"/>
      <c r="H855" s="3"/>
      <c r="K855" s="3"/>
    </row>
    <row r="856" spans="5:11" x14ac:dyDescent="0.35">
      <c r="E856" s="3"/>
      <c r="F856" s="3"/>
      <c r="H856" s="3"/>
      <c r="K856" s="3"/>
    </row>
    <row r="857" spans="5:11" x14ac:dyDescent="0.35">
      <c r="E857" s="3"/>
      <c r="F857" s="3"/>
      <c r="H857" s="3"/>
      <c r="K857" s="3"/>
    </row>
    <row r="858" spans="5:11" x14ac:dyDescent="0.35">
      <c r="E858" s="3"/>
      <c r="F858" s="3"/>
      <c r="H858" s="3"/>
      <c r="K858" s="3"/>
    </row>
    <row r="859" spans="5:11" x14ac:dyDescent="0.35">
      <c r="E859" s="3"/>
      <c r="F859" s="3"/>
      <c r="H859" s="3"/>
      <c r="K859" s="3"/>
    </row>
    <row r="860" spans="5:11" x14ac:dyDescent="0.35">
      <c r="E860" s="3"/>
      <c r="F860" s="3"/>
      <c r="H860" s="3"/>
      <c r="K860" s="3"/>
    </row>
    <row r="861" spans="5:11" x14ac:dyDescent="0.35">
      <c r="E861" s="3"/>
      <c r="F861" s="3"/>
      <c r="H861" s="3"/>
      <c r="K861" s="3"/>
    </row>
    <row r="862" spans="5:11" x14ac:dyDescent="0.35">
      <c r="E862" s="3"/>
      <c r="F862" s="3"/>
      <c r="H862" s="3"/>
      <c r="K862" s="3"/>
    </row>
    <row r="863" spans="5:11" x14ac:dyDescent="0.35">
      <c r="E863" s="3"/>
      <c r="F863" s="3"/>
      <c r="H863" s="3"/>
      <c r="K863" s="3"/>
    </row>
    <row r="864" spans="5:11" x14ac:dyDescent="0.35">
      <c r="E864" s="3"/>
      <c r="F864" s="3"/>
      <c r="H864" s="3"/>
      <c r="K864" s="3"/>
    </row>
    <row r="865" spans="5:11" x14ac:dyDescent="0.35">
      <c r="E865" s="3"/>
      <c r="F865" s="3"/>
      <c r="H865" s="3"/>
      <c r="K865" s="3"/>
    </row>
    <row r="866" spans="5:11" x14ac:dyDescent="0.35">
      <c r="E866" s="3"/>
      <c r="F866" s="3"/>
      <c r="H866" s="3"/>
      <c r="K866" s="3"/>
    </row>
    <row r="867" spans="5:11" x14ac:dyDescent="0.35">
      <c r="E867" s="3"/>
      <c r="F867" s="3"/>
      <c r="H867" s="3"/>
      <c r="K867" s="3"/>
    </row>
    <row r="868" spans="5:11" x14ac:dyDescent="0.35">
      <c r="E868" s="3"/>
      <c r="F868" s="3"/>
      <c r="H868" s="3"/>
      <c r="K868" s="3"/>
    </row>
    <row r="869" spans="5:11" x14ac:dyDescent="0.35">
      <c r="E869" s="3"/>
      <c r="F869" s="3"/>
      <c r="H869" s="3"/>
      <c r="K869" s="3"/>
    </row>
    <row r="870" spans="5:11" x14ac:dyDescent="0.35">
      <c r="E870" s="3"/>
      <c r="F870" s="3"/>
      <c r="H870" s="3"/>
      <c r="K870" s="3"/>
    </row>
    <row r="871" spans="5:11" x14ac:dyDescent="0.35">
      <c r="E871" s="3"/>
      <c r="F871" s="3"/>
      <c r="H871" s="3"/>
      <c r="K871" s="3"/>
    </row>
    <row r="872" spans="5:11" x14ac:dyDescent="0.35">
      <c r="E872" s="3"/>
      <c r="F872" s="3"/>
      <c r="H872" s="3"/>
      <c r="K872" s="3"/>
    </row>
    <row r="873" spans="5:11" x14ac:dyDescent="0.35">
      <c r="E873" s="3"/>
      <c r="F873" s="3"/>
      <c r="H873" s="3"/>
      <c r="K873" s="3"/>
    </row>
    <row r="874" spans="5:11" x14ac:dyDescent="0.35">
      <c r="E874" s="3"/>
      <c r="F874" s="3"/>
      <c r="H874" s="3"/>
      <c r="K874" s="3"/>
    </row>
    <row r="875" spans="5:11" x14ac:dyDescent="0.35">
      <c r="E875" s="3"/>
      <c r="F875" s="3"/>
      <c r="H875" s="3"/>
      <c r="K875" s="3"/>
    </row>
    <row r="876" spans="5:11" x14ac:dyDescent="0.35">
      <c r="E876" s="3"/>
      <c r="F876" s="3"/>
      <c r="H876" s="3"/>
      <c r="K876" s="3"/>
    </row>
    <row r="877" spans="5:11" x14ac:dyDescent="0.35">
      <c r="E877" s="3"/>
      <c r="F877" s="3"/>
      <c r="H877" s="3"/>
      <c r="K877" s="3"/>
    </row>
    <row r="878" spans="5:11" x14ac:dyDescent="0.35">
      <c r="E878" s="3"/>
      <c r="F878" s="3"/>
      <c r="H878" s="3"/>
      <c r="K878" s="3"/>
    </row>
    <row r="879" spans="5:11" x14ac:dyDescent="0.35">
      <c r="E879" s="3"/>
      <c r="F879" s="3"/>
      <c r="H879" s="3"/>
      <c r="K879" s="3"/>
    </row>
    <row r="880" spans="5:11" x14ac:dyDescent="0.35">
      <c r="E880" s="3"/>
      <c r="F880" s="3"/>
      <c r="H880" s="3"/>
      <c r="K880" s="3"/>
    </row>
    <row r="881" spans="5:11" x14ac:dyDescent="0.35">
      <c r="E881" s="3"/>
      <c r="F881" s="3"/>
      <c r="H881" s="3"/>
      <c r="K881" s="3"/>
    </row>
    <row r="882" spans="5:11" x14ac:dyDescent="0.35">
      <c r="E882" s="3"/>
      <c r="F882" s="3"/>
      <c r="H882" s="3"/>
      <c r="K882" s="3"/>
    </row>
    <row r="883" spans="5:11" x14ac:dyDescent="0.35">
      <c r="E883" s="3"/>
      <c r="F883" s="3"/>
      <c r="H883" s="3"/>
      <c r="K883" s="3"/>
    </row>
    <row r="884" spans="5:11" x14ac:dyDescent="0.35">
      <c r="E884" s="3"/>
      <c r="F884" s="3"/>
      <c r="H884" s="3"/>
      <c r="K884" s="3"/>
    </row>
    <row r="885" spans="5:11" x14ac:dyDescent="0.35">
      <c r="E885" s="3"/>
      <c r="F885" s="3"/>
      <c r="H885" s="3"/>
      <c r="K885" s="3"/>
    </row>
    <row r="886" spans="5:11" x14ac:dyDescent="0.35">
      <c r="E886" s="3"/>
      <c r="F886" s="3"/>
      <c r="H886" s="3"/>
      <c r="K886" s="3"/>
    </row>
    <row r="887" spans="5:11" x14ac:dyDescent="0.35">
      <c r="E887" s="3"/>
      <c r="F887" s="3"/>
      <c r="H887" s="3"/>
      <c r="K887" s="3"/>
    </row>
    <row r="888" spans="5:11" x14ac:dyDescent="0.35">
      <c r="E888" s="3"/>
      <c r="F888" s="3"/>
      <c r="H888" s="3"/>
      <c r="K888" s="3"/>
    </row>
    <row r="889" spans="5:11" x14ac:dyDescent="0.35">
      <c r="E889" s="3"/>
      <c r="F889" s="3"/>
      <c r="H889" s="3"/>
      <c r="K889" s="3"/>
    </row>
    <row r="890" spans="5:11" x14ac:dyDescent="0.35">
      <c r="E890" s="3"/>
      <c r="F890" s="3"/>
      <c r="H890" s="3"/>
      <c r="K890" s="3"/>
    </row>
    <row r="891" spans="5:11" x14ac:dyDescent="0.35">
      <c r="E891" s="3"/>
      <c r="F891" s="3"/>
      <c r="H891" s="3"/>
      <c r="K891" s="3"/>
    </row>
    <row r="892" spans="5:11" x14ac:dyDescent="0.35">
      <c r="E892" s="3"/>
      <c r="F892" s="3"/>
      <c r="H892" s="3"/>
      <c r="K892" s="3"/>
    </row>
    <row r="893" spans="5:11" x14ac:dyDescent="0.35">
      <c r="E893" s="3"/>
      <c r="F893" s="3"/>
      <c r="H893" s="3"/>
      <c r="K893" s="3"/>
    </row>
    <row r="894" spans="5:11" x14ac:dyDescent="0.35">
      <c r="E894" s="3"/>
      <c r="F894" s="3"/>
      <c r="H894" s="3"/>
      <c r="K894" s="3"/>
    </row>
    <row r="895" spans="5:11" x14ac:dyDescent="0.35">
      <c r="E895" s="3"/>
      <c r="F895" s="3"/>
      <c r="H895" s="3"/>
      <c r="K895" s="3"/>
    </row>
    <row r="896" spans="5:11" x14ac:dyDescent="0.35">
      <c r="E896" s="3"/>
      <c r="F896" s="3"/>
      <c r="H896" s="3"/>
      <c r="K896" s="3"/>
    </row>
    <row r="897" spans="5:11" x14ac:dyDescent="0.35">
      <c r="E897" s="3"/>
      <c r="F897" s="3"/>
      <c r="H897" s="3"/>
      <c r="K897" s="3"/>
    </row>
    <row r="898" spans="5:11" x14ac:dyDescent="0.35">
      <c r="E898" s="3"/>
      <c r="F898" s="3"/>
      <c r="H898" s="3"/>
      <c r="K898" s="3"/>
    </row>
    <row r="899" spans="5:11" x14ac:dyDescent="0.35">
      <c r="E899" s="3"/>
      <c r="F899" s="3"/>
      <c r="H899" s="3"/>
      <c r="K899" s="3"/>
    </row>
    <row r="900" spans="5:11" x14ac:dyDescent="0.35">
      <c r="E900" s="3"/>
      <c r="F900" s="3"/>
      <c r="H900" s="3"/>
      <c r="K900" s="3"/>
    </row>
    <row r="901" spans="5:11" x14ac:dyDescent="0.35">
      <c r="E901" s="3"/>
      <c r="F901" s="3"/>
      <c r="H901" s="3"/>
      <c r="K901" s="3"/>
    </row>
    <row r="902" spans="5:11" x14ac:dyDescent="0.35">
      <c r="E902" s="3"/>
      <c r="F902" s="3"/>
      <c r="H902" s="3"/>
      <c r="K902" s="3"/>
    </row>
    <row r="903" spans="5:11" x14ac:dyDescent="0.35">
      <c r="E903" s="3"/>
      <c r="F903" s="3"/>
      <c r="H903" s="3"/>
      <c r="K903" s="3"/>
    </row>
    <row r="904" spans="5:11" x14ac:dyDescent="0.35">
      <c r="E904" s="3"/>
      <c r="F904" s="3"/>
      <c r="H904" s="3"/>
      <c r="K904" s="3"/>
    </row>
    <row r="905" spans="5:11" x14ac:dyDescent="0.35">
      <c r="E905" s="3"/>
      <c r="F905" s="3"/>
      <c r="H905" s="3"/>
      <c r="K905" s="3"/>
    </row>
    <row r="906" spans="5:11" x14ac:dyDescent="0.35">
      <c r="E906" s="3"/>
      <c r="F906" s="3"/>
      <c r="H906" s="3"/>
      <c r="K906" s="3"/>
    </row>
    <row r="907" spans="5:11" x14ac:dyDescent="0.35">
      <c r="E907" s="3"/>
      <c r="F907" s="3"/>
      <c r="H907" s="3"/>
      <c r="K907" s="3"/>
    </row>
    <row r="908" spans="5:11" x14ac:dyDescent="0.35">
      <c r="E908" s="3"/>
      <c r="F908" s="3"/>
      <c r="H908" s="3"/>
      <c r="K908" s="3"/>
    </row>
    <row r="909" spans="5:11" x14ac:dyDescent="0.35">
      <c r="E909" s="3"/>
      <c r="F909" s="3"/>
      <c r="H909" s="3"/>
      <c r="K909" s="3"/>
    </row>
    <row r="910" spans="5:11" x14ac:dyDescent="0.35">
      <c r="E910" s="3"/>
      <c r="F910" s="3"/>
      <c r="H910" s="3"/>
      <c r="K910" s="3"/>
    </row>
    <row r="911" spans="5:11" x14ac:dyDescent="0.35">
      <c r="E911" s="3"/>
      <c r="F911" s="3"/>
      <c r="H911" s="3"/>
      <c r="K911" s="3"/>
    </row>
    <row r="912" spans="5:11" x14ac:dyDescent="0.35">
      <c r="E912" s="3"/>
      <c r="F912" s="3"/>
      <c r="H912" s="3"/>
      <c r="K912" s="3"/>
    </row>
    <row r="913" spans="5:11" x14ac:dyDescent="0.35">
      <c r="E913" s="3"/>
      <c r="F913" s="3"/>
      <c r="H913" s="3"/>
      <c r="K913" s="3"/>
    </row>
    <row r="914" spans="5:11" x14ac:dyDescent="0.35">
      <c r="E914" s="3"/>
      <c r="F914" s="3"/>
      <c r="H914" s="3"/>
      <c r="K914" s="3"/>
    </row>
    <row r="915" spans="5:11" x14ac:dyDescent="0.35">
      <c r="E915" s="3"/>
      <c r="F915" s="3"/>
      <c r="H915" s="3"/>
      <c r="K915" s="3"/>
    </row>
    <row r="916" spans="5:11" x14ac:dyDescent="0.35">
      <c r="E916" s="3"/>
      <c r="F916" s="3"/>
      <c r="H916" s="3"/>
      <c r="K916" s="3"/>
    </row>
    <row r="917" spans="5:11" x14ac:dyDescent="0.35">
      <c r="E917" s="3"/>
      <c r="F917" s="3"/>
      <c r="H917" s="3"/>
      <c r="K917" s="3"/>
    </row>
    <row r="918" spans="5:11" x14ac:dyDescent="0.35">
      <c r="E918" s="3"/>
      <c r="F918" s="3"/>
      <c r="H918" s="3"/>
      <c r="K918" s="3"/>
    </row>
    <row r="919" spans="5:11" x14ac:dyDescent="0.35">
      <c r="E919" s="3"/>
      <c r="F919" s="3"/>
      <c r="H919" s="3"/>
      <c r="K919" s="3"/>
    </row>
    <row r="920" spans="5:11" x14ac:dyDescent="0.35">
      <c r="E920" s="3"/>
      <c r="F920" s="3"/>
      <c r="H920" s="3"/>
      <c r="K920" s="3"/>
    </row>
    <row r="921" spans="5:11" x14ac:dyDescent="0.35">
      <c r="E921" s="3"/>
      <c r="F921" s="3"/>
      <c r="H921" s="3"/>
      <c r="K921" s="3"/>
    </row>
    <row r="922" spans="5:11" x14ac:dyDescent="0.35">
      <c r="E922" s="3"/>
      <c r="F922" s="3"/>
      <c r="H922" s="3"/>
      <c r="K922" s="3"/>
    </row>
    <row r="923" spans="5:11" x14ac:dyDescent="0.35">
      <c r="E923" s="3"/>
      <c r="F923" s="3"/>
      <c r="H923" s="3"/>
      <c r="K923" s="3"/>
    </row>
    <row r="924" spans="5:11" x14ac:dyDescent="0.35">
      <c r="E924" s="3"/>
      <c r="F924" s="3"/>
      <c r="H924" s="3"/>
      <c r="K924" s="3"/>
    </row>
    <row r="925" spans="5:11" x14ac:dyDescent="0.35">
      <c r="E925" s="3"/>
      <c r="F925" s="3"/>
      <c r="H925" s="3"/>
      <c r="K925" s="3"/>
    </row>
    <row r="926" spans="5:11" x14ac:dyDescent="0.35">
      <c r="E926" s="3"/>
      <c r="F926" s="3"/>
      <c r="H926" s="3"/>
      <c r="K926" s="3"/>
    </row>
    <row r="927" spans="5:11" x14ac:dyDescent="0.35">
      <c r="E927" s="3"/>
      <c r="F927" s="3"/>
      <c r="H927" s="3"/>
      <c r="K927" s="3"/>
    </row>
    <row r="928" spans="5:11" x14ac:dyDescent="0.35">
      <c r="E928" s="3"/>
      <c r="F928" s="3"/>
      <c r="H928" s="3"/>
      <c r="K928" s="3"/>
    </row>
    <row r="929" spans="5:11" x14ac:dyDescent="0.35">
      <c r="E929" s="3"/>
      <c r="F929" s="3"/>
      <c r="H929" s="3"/>
      <c r="K929" s="3"/>
    </row>
    <row r="930" spans="5:11" x14ac:dyDescent="0.35">
      <c r="E930" s="3"/>
      <c r="F930" s="3"/>
      <c r="H930" s="3"/>
      <c r="K930" s="3"/>
    </row>
    <row r="931" spans="5:11" x14ac:dyDescent="0.35">
      <c r="E931" s="3"/>
      <c r="F931" s="3"/>
      <c r="H931" s="3"/>
      <c r="K931" s="3"/>
    </row>
    <row r="932" spans="5:11" x14ac:dyDescent="0.35">
      <c r="E932" s="3"/>
      <c r="F932" s="3"/>
      <c r="H932" s="3"/>
      <c r="K932" s="3"/>
    </row>
    <row r="933" spans="5:11" x14ac:dyDescent="0.35">
      <c r="E933" s="3"/>
      <c r="F933" s="3"/>
      <c r="H933" s="3"/>
      <c r="K933" s="3"/>
    </row>
    <row r="934" spans="5:11" x14ac:dyDescent="0.35">
      <c r="E934" s="3"/>
      <c r="F934" s="3"/>
      <c r="H934" s="3"/>
      <c r="K934" s="3"/>
    </row>
    <row r="935" spans="5:11" x14ac:dyDescent="0.35">
      <c r="E935" s="3"/>
      <c r="F935" s="3"/>
      <c r="H935" s="3"/>
      <c r="K935" s="3"/>
    </row>
    <row r="936" spans="5:11" x14ac:dyDescent="0.35">
      <c r="E936" s="3"/>
      <c r="F936" s="3"/>
      <c r="H936" s="3"/>
      <c r="K936" s="3"/>
    </row>
    <row r="937" spans="5:11" x14ac:dyDescent="0.35">
      <c r="E937" s="3"/>
      <c r="F937" s="3"/>
      <c r="H937" s="3"/>
      <c r="K937" s="3"/>
    </row>
    <row r="938" spans="5:11" x14ac:dyDescent="0.35">
      <c r="E938" s="3"/>
      <c r="F938" s="3"/>
      <c r="H938" s="3"/>
      <c r="K938" s="3"/>
    </row>
    <row r="939" spans="5:11" x14ac:dyDescent="0.35">
      <c r="E939" s="3"/>
      <c r="F939" s="3"/>
      <c r="H939" s="3"/>
      <c r="K939" s="3"/>
    </row>
    <row r="940" spans="5:11" x14ac:dyDescent="0.35">
      <c r="E940" s="3"/>
      <c r="F940" s="3"/>
      <c r="H940" s="3"/>
      <c r="K940" s="3"/>
    </row>
    <row r="941" spans="5:11" x14ac:dyDescent="0.35">
      <c r="E941" s="3"/>
      <c r="F941" s="3"/>
      <c r="H941" s="3"/>
      <c r="K941" s="3"/>
    </row>
    <row r="942" spans="5:11" x14ac:dyDescent="0.35">
      <c r="E942" s="3"/>
      <c r="F942" s="3"/>
      <c r="H942" s="3"/>
      <c r="K942" s="3"/>
    </row>
    <row r="943" spans="5:11" x14ac:dyDescent="0.35">
      <c r="E943" s="3"/>
      <c r="F943" s="3"/>
      <c r="H943" s="3"/>
      <c r="K943" s="3"/>
    </row>
    <row r="944" spans="5:11" x14ac:dyDescent="0.35">
      <c r="E944" s="3"/>
      <c r="F944" s="3"/>
      <c r="H944" s="3"/>
      <c r="K944" s="3"/>
    </row>
    <row r="945" spans="5:11" x14ac:dyDescent="0.35">
      <c r="E945" s="3"/>
      <c r="F945" s="3"/>
      <c r="H945" s="3"/>
      <c r="K945" s="3"/>
    </row>
    <row r="946" spans="5:11" x14ac:dyDescent="0.35">
      <c r="E946" s="3"/>
      <c r="F946" s="3"/>
      <c r="H946" s="3"/>
      <c r="K946" s="3"/>
    </row>
    <row r="947" spans="5:11" x14ac:dyDescent="0.35">
      <c r="E947" s="3"/>
      <c r="F947" s="3"/>
      <c r="H947" s="3"/>
      <c r="K947" s="3"/>
    </row>
    <row r="948" spans="5:11" x14ac:dyDescent="0.35">
      <c r="E948" s="3"/>
      <c r="F948" s="3"/>
      <c r="H948" s="3"/>
      <c r="K948" s="3"/>
    </row>
    <row r="949" spans="5:11" x14ac:dyDescent="0.35">
      <c r="E949" s="3"/>
      <c r="F949" s="3"/>
      <c r="H949" s="3"/>
      <c r="K949" s="3"/>
    </row>
    <row r="950" spans="5:11" x14ac:dyDescent="0.35">
      <c r="E950" s="3"/>
      <c r="F950" s="3"/>
      <c r="H950" s="3"/>
      <c r="K950" s="3"/>
    </row>
    <row r="951" spans="5:11" x14ac:dyDescent="0.35">
      <c r="E951" s="3"/>
      <c r="F951" s="3"/>
      <c r="H951" s="3"/>
      <c r="K951" s="3"/>
    </row>
    <row r="952" spans="5:11" x14ac:dyDescent="0.35">
      <c r="E952" s="3"/>
      <c r="F952" s="3"/>
      <c r="H952" s="3"/>
      <c r="K952" s="3"/>
    </row>
    <row r="953" spans="5:11" x14ac:dyDescent="0.35">
      <c r="E953" s="3"/>
      <c r="F953" s="3"/>
      <c r="H953" s="3"/>
      <c r="K953" s="3"/>
    </row>
    <row r="954" spans="5:11" x14ac:dyDescent="0.35">
      <c r="E954" s="3"/>
      <c r="F954" s="3"/>
      <c r="H954" s="3"/>
      <c r="K954" s="3"/>
    </row>
    <row r="955" spans="5:11" x14ac:dyDescent="0.35">
      <c r="E955" s="3"/>
      <c r="F955" s="3"/>
      <c r="H955" s="3"/>
      <c r="K955" s="3"/>
    </row>
    <row r="956" spans="5:11" x14ac:dyDescent="0.35">
      <c r="E956" s="3"/>
      <c r="F956" s="3"/>
      <c r="H956" s="3"/>
      <c r="K956" s="3"/>
    </row>
    <row r="957" spans="5:11" x14ac:dyDescent="0.35">
      <c r="E957" s="3"/>
      <c r="F957" s="3"/>
      <c r="H957" s="3"/>
      <c r="K957" s="3"/>
    </row>
    <row r="958" spans="5:11" x14ac:dyDescent="0.35">
      <c r="E958" s="3"/>
      <c r="F958" s="3"/>
      <c r="H958" s="3"/>
      <c r="K958" s="3"/>
    </row>
    <row r="959" spans="5:11" x14ac:dyDescent="0.35">
      <c r="E959" s="3"/>
      <c r="F959" s="3"/>
      <c r="H959" s="3"/>
      <c r="K959" s="3"/>
    </row>
    <row r="960" spans="5:11" x14ac:dyDescent="0.35">
      <c r="E960" s="3"/>
      <c r="F960" s="3"/>
      <c r="H960" s="3"/>
      <c r="K960" s="3"/>
    </row>
    <row r="961" spans="5:11" x14ac:dyDescent="0.35">
      <c r="E961" s="3"/>
      <c r="F961" s="3"/>
      <c r="H961" s="3"/>
      <c r="K961" s="3"/>
    </row>
    <row r="962" spans="5:11" x14ac:dyDescent="0.35">
      <c r="E962" s="3"/>
      <c r="F962" s="3"/>
      <c r="H962" s="3"/>
      <c r="K962" s="3"/>
    </row>
    <row r="963" spans="5:11" x14ac:dyDescent="0.35">
      <c r="E963" s="3"/>
      <c r="F963" s="3"/>
      <c r="H963" s="3"/>
      <c r="K963" s="3"/>
    </row>
    <row r="964" spans="5:11" x14ac:dyDescent="0.35">
      <c r="E964" s="3"/>
      <c r="F964" s="3"/>
      <c r="H964" s="3"/>
      <c r="K964" s="3"/>
    </row>
    <row r="965" spans="5:11" x14ac:dyDescent="0.35">
      <c r="E965" s="3"/>
      <c r="F965" s="3"/>
      <c r="H965" s="3"/>
      <c r="K965" s="3"/>
    </row>
    <row r="966" spans="5:11" x14ac:dyDescent="0.35">
      <c r="E966" s="3"/>
      <c r="F966" s="3"/>
      <c r="H966" s="3"/>
      <c r="K966" s="3"/>
    </row>
    <row r="967" spans="5:11" x14ac:dyDescent="0.35">
      <c r="E967" s="3"/>
      <c r="F967" s="3"/>
      <c r="H967" s="3"/>
      <c r="K967" s="3"/>
    </row>
    <row r="968" spans="5:11" x14ac:dyDescent="0.35">
      <c r="E968" s="3"/>
      <c r="F968" s="3"/>
      <c r="H968" s="3"/>
      <c r="K968" s="3"/>
    </row>
    <row r="969" spans="5:11" x14ac:dyDescent="0.35">
      <c r="E969" s="3"/>
      <c r="F969" s="3"/>
      <c r="H969" s="3"/>
      <c r="K969" s="3"/>
    </row>
    <row r="970" spans="5:11" x14ac:dyDescent="0.35">
      <c r="E970" s="3"/>
      <c r="F970" s="3"/>
      <c r="H970" s="3"/>
      <c r="K970" s="3"/>
    </row>
    <row r="971" spans="5:11" x14ac:dyDescent="0.35">
      <c r="E971" s="3"/>
      <c r="F971" s="3"/>
      <c r="H971" s="3"/>
      <c r="K971" s="3"/>
    </row>
    <row r="972" spans="5:11" x14ac:dyDescent="0.35">
      <c r="E972" s="3"/>
      <c r="F972" s="3"/>
      <c r="H972" s="3"/>
      <c r="K972" s="3"/>
    </row>
    <row r="973" spans="5:11" x14ac:dyDescent="0.35">
      <c r="E973" s="3"/>
      <c r="F973" s="3"/>
      <c r="H973" s="3"/>
      <c r="K973" s="3"/>
    </row>
    <row r="974" spans="5:11" x14ac:dyDescent="0.35">
      <c r="E974" s="3"/>
      <c r="F974" s="3"/>
      <c r="H974" s="3"/>
      <c r="K974" s="3"/>
    </row>
    <row r="975" spans="5:11" x14ac:dyDescent="0.35">
      <c r="E975" s="3"/>
      <c r="F975" s="3"/>
      <c r="H975" s="3"/>
      <c r="K975" s="3"/>
    </row>
    <row r="976" spans="5:11" x14ac:dyDescent="0.35">
      <c r="E976" s="3"/>
      <c r="F976" s="3"/>
      <c r="H976" s="3"/>
      <c r="K976" s="3"/>
    </row>
    <row r="977" spans="5:11" x14ac:dyDescent="0.35">
      <c r="E977" s="3"/>
      <c r="F977" s="3"/>
      <c r="H977" s="3"/>
      <c r="K977" s="3"/>
    </row>
    <row r="978" spans="5:11" x14ac:dyDescent="0.35">
      <c r="E978" s="3"/>
      <c r="F978" s="3"/>
      <c r="H978" s="3"/>
      <c r="K978" s="3"/>
    </row>
    <row r="979" spans="5:11" x14ac:dyDescent="0.35">
      <c r="E979" s="3"/>
      <c r="F979" s="3"/>
      <c r="H979" s="3"/>
      <c r="K979" s="3"/>
    </row>
    <row r="980" spans="5:11" x14ac:dyDescent="0.35">
      <c r="E980" s="3"/>
      <c r="F980" s="3"/>
      <c r="H980" s="3"/>
      <c r="K980" s="3"/>
    </row>
    <row r="981" spans="5:11" x14ac:dyDescent="0.35">
      <c r="E981" s="3"/>
      <c r="F981" s="3"/>
      <c r="H981" s="3"/>
      <c r="K981" s="3"/>
    </row>
    <row r="982" spans="5:11" x14ac:dyDescent="0.35">
      <c r="E982" s="3"/>
      <c r="F982" s="3"/>
      <c r="H982" s="3"/>
      <c r="K982" s="3"/>
    </row>
    <row r="983" spans="5:11" x14ac:dyDescent="0.35">
      <c r="E983" s="3"/>
      <c r="F983" s="3"/>
      <c r="H983" s="3"/>
      <c r="K983" s="3"/>
    </row>
    <row r="984" spans="5:11" x14ac:dyDescent="0.35">
      <c r="E984" s="3"/>
      <c r="F984" s="3"/>
      <c r="H984" s="3"/>
      <c r="K984" s="3"/>
    </row>
    <row r="985" spans="5:11" x14ac:dyDescent="0.35">
      <c r="E985" s="3"/>
      <c r="F985" s="3"/>
      <c r="H985" s="3"/>
      <c r="K985" s="3"/>
    </row>
    <row r="986" spans="5:11" x14ac:dyDescent="0.35">
      <c r="E986" s="3"/>
      <c r="F986" s="3"/>
      <c r="H986" s="3"/>
      <c r="K986" s="3"/>
    </row>
    <row r="987" spans="5:11" x14ac:dyDescent="0.35">
      <c r="E987" s="3"/>
      <c r="F987" s="3"/>
      <c r="H987" s="3"/>
      <c r="K987" s="3"/>
    </row>
    <row r="988" spans="5:11" x14ac:dyDescent="0.35">
      <c r="E988" s="3"/>
      <c r="F988" s="3"/>
      <c r="H988" s="3"/>
      <c r="K988" s="3"/>
    </row>
    <row r="989" spans="5:11" x14ac:dyDescent="0.35">
      <c r="E989" s="3"/>
      <c r="F989" s="3"/>
      <c r="H989" s="3"/>
      <c r="K989" s="3"/>
    </row>
    <row r="990" spans="5:11" x14ac:dyDescent="0.35">
      <c r="E990" s="3"/>
      <c r="F990" s="3"/>
      <c r="H990" s="3"/>
      <c r="K990" s="3"/>
    </row>
    <row r="991" spans="5:11" x14ac:dyDescent="0.35">
      <c r="E991" s="3"/>
      <c r="F991" s="3"/>
      <c r="H991" s="3"/>
      <c r="K991" s="3"/>
    </row>
    <row r="992" spans="5:11" x14ac:dyDescent="0.35">
      <c r="E992" s="3"/>
      <c r="F992" s="3"/>
      <c r="H992" s="3"/>
      <c r="K992" s="3"/>
    </row>
    <row r="993" spans="5:11" x14ac:dyDescent="0.35">
      <c r="E993" s="3"/>
      <c r="F993" s="3"/>
      <c r="H993" s="3"/>
      <c r="K993" s="3"/>
    </row>
    <row r="994" spans="5:11" x14ac:dyDescent="0.35">
      <c r="E994" s="3"/>
      <c r="F994" s="3"/>
      <c r="H994" s="3"/>
      <c r="K994" s="3"/>
    </row>
    <row r="995" spans="5:11" x14ac:dyDescent="0.35">
      <c r="E995" s="3"/>
      <c r="F995" s="3"/>
      <c r="H995" s="3"/>
      <c r="K995" s="3"/>
    </row>
    <row r="996" spans="5:11" x14ac:dyDescent="0.35">
      <c r="E996" s="3"/>
      <c r="F996" s="3"/>
      <c r="H996" s="3"/>
      <c r="K996" s="3"/>
    </row>
    <row r="997" spans="5:11" x14ac:dyDescent="0.35">
      <c r="E997" s="3"/>
      <c r="F997" s="3"/>
      <c r="H997" s="3"/>
      <c r="K997" s="3"/>
    </row>
    <row r="998" spans="5:11" x14ac:dyDescent="0.35">
      <c r="E998" s="3"/>
      <c r="F998" s="3"/>
      <c r="H998" s="3"/>
      <c r="K998" s="3"/>
    </row>
    <row r="999" spans="5:11" x14ac:dyDescent="0.35">
      <c r="E999" s="3"/>
      <c r="F999" s="3"/>
      <c r="H999" s="3"/>
      <c r="K999" s="3"/>
    </row>
    <row r="1000" spans="5:11" x14ac:dyDescent="0.35">
      <c r="E1000" s="3"/>
      <c r="F1000" s="3"/>
      <c r="H1000" s="3"/>
      <c r="K1000" s="3"/>
    </row>
    <row r="1001" spans="5:11" x14ac:dyDescent="0.35">
      <c r="E1001" s="3"/>
      <c r="F1001" s="3"/>
      <c r="H1001" s="3"/>
      <c r="K1001" s="3"/>
    </row>
  </sheetData>
  <autoFilter ref="A1:K501" xr:uid="{00000000-0001-0000-0100-000000000000}">
    <sortState xmlns:xlrd2="http://schemas.microsoft.com/office/spreadsheetml/2017/richdata2" ref="A2:K501">
      <sortCondition ref="B1:B501"/>
    </sortState>
  </autoFilter>
  <conditionalFormatting sqref="G2:G1000">
    <cfRule type="expression" dxfId="107" priority="113" stopIfTrue="1">
      <formula>LOWER(TRIM(G2))="ja"</formula>
    </cfRule>
    <cfRule type="expression" dxfId="106" priority="114" stopIfTrue="1">
      <formula>LOWER(TRIM(G2))="nei"</formula>
    </cfRule>
  </conditionalFormatting>
  <conditionalFormatting sqref="F1:F1048576">
    <cfRule type="cellIs" dxfId="105" priority="106" operator="equal">
      <formula>"Ja"</formula>
    </cfRule>
    <cfRule type="cellIs" dxfId="104" priority="105" operator="equal">
      <formula>"Nei"</formula>
    </cfRule>
  </conditionalFormatting>
  <conditionalFormatting sqref="E1:E152 E154 E156:E160 E165:E171 E174:E1048576">
    <cfRule type="cellIs" dxfId="103" priority="103" operator="equal">
      <formula>"Nei"</formula>
    </cfRule>
    <cfRule type="cellIs" dxfId="102" priority="104" operator="equal">
      <formula>"Ja"</formula>
    </cfRule>
    <cfRule type="cellIs" dxfId="101" priority="102" operator="equal">
      <formula>"Skal Ikke ha"</formula>
    </cfRule>
  </conditionalFormatting>
  <conditionalFormatting sqref="H1:H1048576">
    <cfRule type="cellIs" dxfId="100" priority="98" operator="equal">
      <formula>"Nei"</formula>
    </cfRule>
    <cfRule type="cellIs" dxfId="99" priority="99" operator="equal">
      <formula>"Ja"</formula>
    </cfRule>
  </conditionalFormatting>
  <conditionalFormatting sqref="G1:G1048576">
    <cfRule type="cellIs" dxfId="97" priority="97" operator="equal">
      <formula>"MANGLER"</formula>
    </cfRule>
    <cfRule type="cellIs" dxfId="98" priority="96" operator="equal">
      <formula>"MANGLER IKKE"</formula>
    </cfRule>
  </conditionalFormatting>
  <conditionalFormatting sqref="K1 K3 K8:K17 K21:K22 K24 K26:K32 K34:K37 K39:K41 K43:K52 K55:K57 K59:K61 K63:K92 K94:K105 K107:K125 K128 K136 K140:K141 K145 K148:K152 K174:K1048576 K165:K171 K156:K160 K154">
    <cfRule type="cellIs" dxfId="90" priority="91" operator="equal">
      <formula>"Skal Ikke ha"</formula>
    </cfRule>
    <cfRule type="cellIs" dxfId="92" priority="92" operator="equal">
      <formula>"Nei"</formula>
    </cfRule>
    <cfRule type="cellIs" dxfId="91" priority="93" operator="equal">
      <formula>"Ja"</formula>
    </cfRule>
  </conditionalFormatting>
  <conditionalFormatting sqref="K2">
    <cfRule type="cellIs" dxfId="87" priority="87" operator="equal">
      <formula>"Nei"</formula>
    </cfRule>
    <cfRule type="cellIs" dxfId="86" priority="88" operator="equal">
      <formula>"Ja"</formula>
    </cfRule>
  </conditionalFormatting>
  <conditionalFormatting sqref="K4:K7">
    <cfRule type="cellIs" dxfId="83" priority="83" operator="equal">
      <formula>"Nei"</formula>
    </cfRule>
    <cfRule type="cellIs" dxfId="82" priority="84" operator="equal">
      <formula>"Ja"</formula>
    </cfRule>
  </conditionalFormatting>
  <conditionalFormatting sqref="K18">
    <cfRule type="cellIs" dxfId="81" priority="81" operator="equal">
      <formula>"Nei"</formula>
    </cfRule>
    <cfRule type="cellIs" dxfId="80" priority="82" operator="equal">
      <formula>"Ja"</formula>
    </cfRule>
  </conditionalFormatting>
  <conditionalFormatting sqref="K19">
    <cfRule type="cellIs" dxfId="79" priority="79" operator="equal">
      <formula>"Nei"</formula>
    </cfRule>
    <cfRule type="cellIs" dxfId="78" priority="80" operator="equal">
      <formula>"Ja"</formula>
    </cfRule>
  </conditionalFormatting>
  <conditionalFormatting sqref="K20">
    <cfRule type="cellIs" dxfId="77" priority="77" operator="equal">
      <formula>"Nei"</formula>
    </cfRule>
    <cfRule type="cellIs" dxfId="76" priority="78" operator="equal">
      <formula>"Ja"</formula>
    </cfRule>
  </conditionalFormatting>
  <conditionalFormatting sqref="K23">
    <cfRule type="cellIs" dxfId="75" priority="75" operator="equal">
      <formula>"Nei"</formula>
    </cfRule>
    <cfRule type="cellIs" dxfId="74" priority="76" operator="equal">
      <formula>"Ja"</formula>
    </cfRule>
  </conditionalFormatting>
  <conditionalFormatting sqref="K25">
    <cfRule type="cellIs" dxfId="73" priority="73" operator="equal">
      <formula>"Nei"</formula>
    </cfRule>
    <cfRule type="cellIs" dxfId="72" priority="74" operator="equal">
      <formula>"Ja"</formula>
    </cfRule>
  </conditionalFormatting>
  <conditionalFormatting sqref="K33">
    <cfRule type="cellIs" dxfId="71" priority="71" operator="equal">
      <formula>"Nei"</formula>
    </cfRule>
    <cfRule type="cellIs" dxfId="70" priority="72" operator="equal">
      <formula>"Ja"</formula>
    </cfRule>
  </conditionalFormatting>
  <conditionalFormatting sqref="K38">
    <cfRule type="cellIs" dxfId="69" priority="69" operator="equal">
      <formula>"Nei"</formula>
    </cfRule>
    <cfRule type="cellIs" dxfId="68" priority="70" operator="equal">
      <formula>"Ja"</formula>
    </cfRule>
  </conditionalFormatting>
  <conditionalFormatting sqref="K42">
    <cfRule type="cellIs" dxfId="67" priority="67" operator="equal">
      <formula>"Nei"</formula>
    </cfRule>
    <cfRule type="cellIs" dxfId="66" priority="68" operator="equal">
      <formula>"Ja"</formula>
    </cfRule>
  </conditionalFormatting>
  <conditionalFormatting sqref="K53">
    <cfRule type="cellIs" dxfId="65" priority="65" operator="equal">
      <formula>"Nei"</formula>
    </cfRule>
    <cfRule type="cellIs" dxfId="64" priority="66" operator="equal">
      <formula>"Ja"</formula>
    </cfRule>
  </conditionalFormatting>
  <conditionalFormatting sqref="K54">
    <cfRule type="cellIs" dxfId="63" priority="63" operator="equal">
      <formula>"Nei"</formula>
    </cfRule>
    <cfRule type="cellIs" dxfId="62" priority="64" operator="equal">
      <formula>"Ja"</formula>
    </cfRule>
  </conditionalFormatting>
  <conditionalFormatting sqref="K58">
    <cfRule type="cellIs" dxfId="61" priority="61" operator="equal">
      <formula>"Nei"</formula>
    </cfRule>
    <cfRule type="cellIs" dxfId="60" priority="62" operator="equal">
      <formula>"Ja"</formula>
    </cfRule>
  </conditionalFormatting>
  <conditionalFormatting sqref="K62">
    <cfRule type="cellIs" dxfId="59" priority="59" operator="equal">
      <formula>"Nei"</formula>
    </cfRule>
    <cfRule type="cellIs" dxfId="58" priority="60" operator="equal">
      <formula>"Ja"</formula>
    </cfRule>
  </conditionalFormatting>
  <conditionalFormatting sqref="K93">
    <cfRule type="cellIs" dxfId="57" priority="57" operator="equal">
      <formula>"Nei"</formula>
    </cfRule>
    <cfRule type="cellIs" dxfId="56" priority="58" operator="equal">
      <formula>"Ja"</formula>
    </cfRule>
  </conditionalFormatting>
  <conditionalFormatting sqref="K106">
    <cfRule type="cellIs" dxfId="55" priority="55" operator="equal">
      <formula>"Nei"</formula>
    </cfRule>
    <cfRule type="cellIs" dxfId="54" priority="56" operator="equal">
      <formula>"Ja"</formula>
    </cfRule>
  </conditionalFormatting>
  <conditionalFormatting sqref="K126:K127">
    <cfRule type="cellIs" dxfId="53" priority="53" operator="equal">
      <formula>"Nei"</formula>
    </cfRule>
    <cfRule type="cellIs" dxfId="52" priority="54" operator="equal">
      <formula>"Ja"</formula>
    </cfRule>
  </conditionalFormatting>
  <conditionalFormatting sqref="K129">
    <cfRule type="cellIs" dxfId="51" priority="51" operator="equal">
      <formula>"Nei"</formula>
    </cfRule>
    <cfRule type="cellIs" dxfId="50" priority="52" operator="equal">
      <formula>"Ja"</formula>
    </cfRule>
  </conditionalFormatting>
  <conditionalFormatting sqref="K130:K135">
    <cfRule type="cellIs" dxfId="49" priority="49" operator="equal">
      <formula>"Nei"</formula>
    </cfRule>
    <cfRule type="cellIs" dxfId="48" priority="50" operator="equal">
      <formula>"Ja"</formula>
    </cfRule>
  </conditionalFormatting>
  <conditionalFormatting sqref="K137">
    <cfRule type="cellIs" dxfId="47" priority="47" operator="equal">
      <formula>"Nei"</formula>
    </cfRule>
    <cfRule type="cellIs" dxfId="46" priority="48" operator="equal">
      <formula>"Ja"</formula>
    </cfRule>
  </conditionalFormatting>
  <conditionalFormatting sqref="K138">
    <cfRule type="cellIs" dxfId="45" priority="45" operator="equal">
      <formula>"Nei"</formula>
    </cfRule>
    <cfRule type="cellIs" dxfId="44" priority="46" operator="equal">
      <formula>"Ja"</formula>
    </cfRule>
  </conditionalFormatting>
  <conditionalFormatting sqref="K139">
    <cfRule type="cellIs" dxfId="43" priority="43" operator="equal">
      <formula>"Nei"</formula>
    </cfRule>
    <cfRule type="cellIs" dxfId="42" priority="44" operator="equal">
      <formula>"Ja"</formula>
    </cfRule>
  </conditionalFormatting>
  <conditionalFormatting sqref="K142">
    <cfRule type="cellIs" dxfId="41" priority="41" operator="equal">
      <formula>"Nei"</formula>
    </cfRule>
    <cfRule type="cellIs" dxfId="40" priority="42" operator="equal">
      <formula>"Ja"</formula>
    </cfRule>
  </conditionalFormatting>
  <conditionalFormatting sqref="K143">
    <cfRule type="cellIs" dxfId="39" priority="39" operator="equal">
      <formula>"Nei"</formula>
    </cfRule>
    <cfRule type="cellIs" dxfId="38" priority="40" operator="equal">
      <formula>"Ja"</formula>
    </cfRule>
  </conditionalFormatting>
  <conditionalFormatting sqref="K144">
    <cfRule type="cellIs" dxfId="37" priority="37" operator="equal">
      <formula>"Nei"</formula>
    </cfRule>
    <cfRule type="cellIs" dxfId="36" priority="38" operator="equal">
      <formula>"Ja"</formula>
    </cfRule>
  </conditionalFormatting>
  <conditionalFormatting sqref="K147">
    <cfRule type="cellIs" dxfId="35" priority="35" operator="equal">
      <formula>"Nei"</formula>
    </cfRule>
    <cfRule type="cellIs" dxfId="34" priority="36" operator="equal">
      <formula>"Ja"</formula>
    </cfRule>
  </conditionalFormatting>
  <conditionalFormatting sqref="K146">
    <cfRule type="cellIs" dxfId="33" priority="33" operator="equal">
      <formula>"Nei"</formula>
    </cfRule>
    <cfRule type="cellIs" dxfId="32" priority="34" operator="equal">
      <formula>"Ja"</formula>
    </cfRule>
  </conditionalFormatting>
  <conditionalFormatting sqref="K173">
    <cfRule type="cellIs" dxfId="31" priority="31" operator="equal">
      <formula>"Nei"</formula>
    </cfRule>
    <cfRule type="cellIs" dxfId="30" priority="32" operator="equal">
      <formula>"Ja"</formula>
    </cfRule>
  </conditionalFormatting>
  <conditionalFormatting sqref="K172">
    <cfRule type="cellIs" dxfId="29" priority="29" operator="equal">
      <formula>"Nei"</formula>
    </cfRule>
    <cfRule type="cellIs" dxfId="28" priority="30" operator="equal">
      <formula>"Ja"</formula>
    </cfRule>
  </conditionalFormatting>
  <conditionalFormatting sqref="K164">
    <cfRule type="cellIs" dxfId="27" priority="27" operator="equal">
      <formula>"Nei"</formula>
    </cfRule>
    <cfRule type="cellIs" dxfId="26" priority="28" operator="equal">
      <formula>"Ja"</formula>
    </cfRule>
  </conditionalFormatting>
  <conditionalFormatting sqref="K163">
    <cfRule type="cellIs" dxfId="25" priority="25" operator="equal">
      <formula>"Nei"</formula>
    </cfRule>
    <cfRule type="cellIs" dxfId="24" priority="26" operator="equal">
      <formula>"Ja"</formula>
    </cfRule>
  </conditionalFormatting>
  <conditionalFormatting sqref="K162">
    <cfRule type="cellIs" dxfId="23" priority="23" operator="equal">
      <formula>"Nei"</formula>
    </cfRule>
    <cfRule type="cellIs" dxfId="22" priority="24" operator="equal">
      <formula>"Ja"</formula>
    </cfRule>
  </conditionalFormatting>
  <conditionalFormatting sqref="K161">
    <cfRule type="cellIs" dxfId="21" priority="21" operator="equal">
      <formula>"Nei"</formula>
    </cfRule>
    <cfRule type="cellIs" dxfId="20" priority="22" operator="equal">
      <formula>"Ja"</formula>
    </cfRule>
  </conditionalFormatting>
  <conditionalFormatting sqref="K155">
    <cfRule type="cellIs" dxfId="19" priority="19" operator="equal">
      <formula>"Nei"</formula>
    </cfRule>
    <cfRule type="cellIs" dxfId="18" priority="20" operator="equal">
      <formula>"Ja"</formula>
    </cfRule>
  </conditionalFormatting>
  <conditionalFormatting sqref="K153">
    <cfRule type="cellIs" dxfId="17" priority="17" operator="equal">
      <formula>"Nei"</formula>
    </cfRule>
    <cfRule type="cellIs" dxfId="16" priority="18" operator="equal">
      <formula>"Ja"</formula>
    </cfRule>
  </conditionalFormatting>
  <conditionalFormatting sqref="E153">
    <cfRule type="cellIs" dxfId="14" priority="15" operator="equal">
      <formula>"Nei"</formula>
    </cfRule>
    <cfRule type="cellIs" dxfId="15" priority="16" operator="equal">
      <formula>"Ja"</formula>
    </cfRule>
  </conditionalFormatting>
  <conditionalFormatting sqref="E155">
    <cfRule type="cellIs" dxfId="12" priority="13" operator="equal">
      <formula>"Nei"</formula>
    </cfRule>
    <cfRule type="cellIs" dxfId="13" priority="14" operator="equal">
      <formula>"Ja"</formula>
    </cfRule>
  </conditionalFormatting>
  <conditionalFormatting sqref="E161">
    <cfRule type="cellIs" dxfId="10" priority="11" operator="equal">
      <formula>"Nei"</formula>
    </cfRule>
    <cfRule type="cellIs" dxfId="11" priority="12" operator="equal">
      <formula>"Ja"</formula>
    </cfRule>
  </conditionalFormatting>
  <conditionalFormatting sqref="E162">
    <cfRule type="cellIs" dxfId="8" priority="9" operator="equal">
      <formula>"Nei"</formula>
    </cfRule>
    <cfRule type="cellIs" dxfId="9" priority="10" operator="equal">
      <formula>"Ja"</formula>
    </cfRule>
  </conditionalFormatting>
  <conditionalFormatting sqref="E163">
    <cfRule type="cellIs" dxfId="6" priority="7" operator="equal">
      <formula>"Nei"</formula>
    </cfRule>
    <cfRule type="cellIs" dxfId="7" priority="8" operator="equal">
      <formula>"Ja"</formula>
    </cfRule>
  </conditionalFormatting>
  <conditionalFormatting sqref="E164">
    <cfRule type="cellIs" dxfId="4" priority="5" operator="equal">
      <formula>"Nei"</formula>
    </cfRule>
    <cfRule type="cellIs" dxfId="5" priority="6" operator="equal">
      <formula>"Ja"</formula>
    </cfRule>
  </conditionalFormatting>
  <conditionalFormatting sqref="E172">
    <cfRule type="cellIs" dxfId="2" priority="3" operator="equal">
      <formula>"Nei"</formula>
    </cfRule>
    <cfRule type="cellIs" dxfId="3" priority="4" operator="equal">
      <formula>"Ja"</formula>
    </cfRule>
  </conditionalFormatting>
  <conditionalFormatting sqref="E173">
    <cfRule type="cellIs" dxfId="0" priority="1" operator="equal">
      <formula>"Nei"</formula>
    </cfRule>
    <cfRule type="cellIs" dxfId="1" priority="2" operator="equal">
      <formula>"Ja"</formula>
    </cfRule>
  </conditionalFormatting>
  <dataValidations count="1">
    <dataValidation type="list" allowBlank="1" errorTitle="Ugyldig verdi" error="Velg Ja eller Nei." promptTitle="Er block" prompt="Ja = block, Nei = item/ikke-block." sqref="H2:H501 K2 K4:K7 K18:K20 K23 K25 K33 K38 K42 K53:K54 K58 K62 K93 K106 K126:K127 K129:K135 K137:K139 K142:K144 K146:K147 K172:K173 K161:K164 K155 K153" xr:uid="{4C04FCC8-6EA8-4C4C-A9A9-A8DA19ABB4D6}">
      <formula1>"Ja,Nei"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1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24" customWidth="1"/>
    <col min="2" max="3" width="13" customWidth="1"/>
    <col min="4" max="4" width="23" customWidth="1"/>
    <col min="5" max="5" width="14" customWidth="1"/>
    <col min="6" max="6" width="18" customWidth="1"/>
    <col min="7" max="7" width="12" customWidth="1"/>
    <col min="8" max="8" width="13" customWidth="1"/>
  </cols>
  <sheetData>
    <row r="1" spans="1:8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35">
      <c r="A2" t="str">
        <f>IFERROR(INDEX(Input!$A$2:$A$501,MATCH(1,Input!$J$2:$J$501,0)),"")</f>
        <v/>
      </c>
      <c r="B2" t="str">
        <f>IFERROR(INDEX(Input!$B$2:$B$501,MATCH(1,Input!$J$2:$J$501,0)),"")</f>
        <v/>
      </c>
      <c r="C2" t="str">
        <f>IFERROR(INDEX(Input!$C$2:$C$501,MATCH(1,Input!$J$2:$J$501,0)),"")</f>
        <v/>
      </c>
      <c r="D2" t="str">
        <f>IFERROR(INDEX(Input!$D$2:$D$501,MATCH(1,Input!$J$2:$J$501,0)),"")</f>
        <v/>
      </c>
      <c r="E2" s="3" t="str">
        <f>IFERROR(INDEX(Input!$E$2:$E$501,MATCH(1,Input!$J$2:$J$501,0)),"")</f>
        <v/>
      </c>
      <c r="F2" t="str">
        <f>IFERROR(INDEX(Input!$F$2:$F$501,MATCH(1,Input!$J$2:$J$501,0)),"")</f>
        <v/>
      </c>
      <c r="G2" s="3" t="str">
        <f>IFERROR(INDEX(Input!$G$2:$G$501,MATCH(1,Input!$J$2:$J$501,0)),"")</f>
        <v/>
      </c>
      <c r="H2" t="str">
        <f>IFERROR(INDEX(Input!$H$2:$H$501,MATCH(1,Input!$J$2:$J$501,0)),"")</f>
        <v/>
      </c>
    </row>
    <row r="3" spans="1:8" x14ac:dyDescent="0.35">
      <c r="A3" t="str">
        <f>IFERROR(INDEX(Input!$A$2:$A$501,MATCH(2,Input!$J$2:$J$501,0)),"")</f>
        <v/>
      </c>
      <c r="B3" t="str">
        <f>IFERROR(INDEX(Input!$B$2:$B$501,MATCH(2,Input!$J$2:$J$501,0)),"")</f>
        <v/>
      </c>
      <c r="C3" t="str">
        <f>IFERROR(INDEX(Input!$C$2:$C$501,MATCH(2,Input!$J$2:$J$501,0)),"")</f>
        <v/>
      </c>
      <c r="D3" t="str">
        <f>IFERROR(INDEX(Input!$D$2:$D$501,MATCH(2,Input!$J$2:$J$501,0)),"")</f>
        <v/>
      </c>
      <c r="E3" s="3" t="str">
        <f>IFERROR(INDEX(Input!$E$2:$E$501,MATCH(2,Input!$J$2:$J$501,0)),"")</f>
        <v/>
      </c>
      <c r="F3" t="str">
        <f>IFERROR(INDEX(Input!$F$2:$F$501,MATCH(2,Input!$J$2:$J$501,0)),"")</f>
        <v/>
      </c>
      <c r="G3" s="3" t="str">
        <f>IFERROR(INDEX(Input!$G$2:$G$501,MATCH(2,Input!$J$2:$J$501,0)),"")</f>
        <v/>
      </c>
      <c r="H3" t="str">
        <f>IFERROR(INDEX(Input!$H$2:$H$501,MATCH(2,Input!$J$2:$J$501,0)),"")</f>
        <v/>
      </c>
    </row>
    <row r="4" spans="1:8" x14ac:dyDescent="0.35">
      <c r="A4" t="str">
        <f>IFERROR(INDEX(Input!$A$2:$A$501,MATCH(3,Input!$J$2:$J$501,0)),"")</f>
        <v/>
      </c>
      <c r="B4" t="str">
        <f>IFERROR(INDEX(Input!$B$2:$B$501,MATCH(3,Input!$J$2:$J$501,0)),"")</f>
        <v/>
      </c>
      <c r="C4" t="str">
        <f>IFERROR(INDEX(Input!$C$2:$C$501,MATCH(3,Input!$J$2:$J$501,0)),"")</f>
        <v/>
      </c>
      <c r="D4" t="str">
        <f>IFERROR(INDEX(Input!$D$2:$D$501,MATCH(3,Input!$J$2:$J$501,0)),"")</f>
        <v/>
      </c>
      <c r="E4" s="3" t="str">
        <f>IFERROR(INDEX(Input!$E$2:$E$501,MATCH(3,Input!$J$2:$J$501,0)),"")</f>
        <v/>
      </c>
      <c r="F4" t="str">
        <f>IFERROR(INDEX(Input!$F$2:$F$501,MATCH(3,Input!$J$2:$J$501,0)),"")</f>
        <v/>
      </c>
      <c r="G4" s="3" t="str">
        <f>IFERROR(INDEX(Input!$G$2:$G$501,MATCH(3,Input!$J$2:$J$501,0)),"")</f>
        <v/>
      </c>
      <c r="H4" t="str">
        <f>IFERROR(INDEX(Input!$H$2:$H$501,MATCH(3,Input!$J$2:$J$501,0)),"")</f>
        <v/>
      </c>
    </row>
    <row r="5" spans="1:8" x14ac:dyDescent="0.35">
      <c r="A5" t="str">
        <f>IFERROR(INDEX(Input!$A$2:$A$501,MATCH(4,Input!$J$2:$J$501,0)),"")</f>
        <v/>
      </c>
      <c r="B5" t="str">
        <f>IFERROR(INDEX(Input!$B$2:$B$501,MATCH(4,Input!$J$2:$J$501,0)),"")</f>
        <v/>
      </c>
      <c r="C5" t="str">
        <f>IFERROR(INDEX(Input!$C$2:$C$501,MATCH(4,Input!$J$2:$J$501,0)),"")</f>
        <v/>
      </c>
      <c r="D5" t="str">
        <f>IFERROR(INDEX(Input!$D$2:$D$501,MATCH(4,Input!$J$2:$J$501,0)),"")</f>
        <v/>
      </c>
      <c r="E5" s="3" t="str">
        <f>IFERROR(INDEX(Input!$E$2:$E$501,MATCH(4,Input!$J$2:$J$501,0)),"")</f>
        <v/>
      </c>
      <c r="F5" t="str">
        <f>IFERROR(INDEX(Input!$F$2:$F$501,MATCH(4,Input!$J$2:$J$501,0)),"")</f>
        <v/>
      </c>
      <c r="G5" s="3" t="str">
        <f>IFERROR(INDEX(Input!$G$2:$G$501,MATCH(4,Input!$J$2:$J$501,0)),"")</f>
        <v/>
      </c>
      <c r="H5" t="str">
        <f>IFERROR(INDEX(Input!$H$2:$H$501,MATCH(4,Input!$J$2:$J$501,0)),"")</f>
        <v/>
      </c>
    </row>
    <row r="6" spans="1:8" x14ac:dyDescent="0.35">
      <c r="A6" t="str">
        <f>IFERROR(INDEX(Input!$A$2:$A$501,MATCH(5,Input!$J$2:$J$501,0)),"")</f>
        <v/>
      </c>
      <c r="B6" t="str">
        <f>IFERROR(INDEX(Input!$B$2:$B$501,MATCH(5,Input!$J$2:$J$501,0)),"")</f>
        <v/>
      </c>
      <c r="C6" t="str">
        <f>IFERROR(INDEX(Input!$C$2:$C$501,MATCH(5,Input!$J$2:$J$501,0)),"")</f>
        <v/>
      </c>
      <c r="D6" t="str">
        <f>IFERROR(INDEX(Input!$D$2:$D$501,MATCH(5,Input!$J$2:$J$501,0)),"")</f>
        <v/>
      </c>
      <c r="E6" s="3" t="str">
        <f>IFERROR(INDEX(Input!$E$2:$E$501,MATCH(5,Input!$J$2:$J$501,0)),"")</f>
        <v/>
      </c>
      <c r="F6" t="str">
        <f>IFERROR(INDEX(Input!$F$2:$F$501,MATCH(5,Input!$J$2:$J$501,0)),"")</f>
        <v/>
      </c>
      <c r="G6" s="3" t="str">
        <f>IFERROR(INDEX(Input!$G$2:$G$501,MATCH(5,Input!$J$2:$J$501,0)),"")</f>
        <v/>
      </c>
      <c r="H6" t="str">
        <f>IFERROR(INDEX(Input!$H$2:$H$501,MATCH(5,Input!$J$2:$J$501,0)),"")</f>
        <v/>
      </c>
    </row>
    <row r="7" spans="1:8" x14ac:dyDescent="0.35">
      <c r="A7" t="str">
        <f>IFERROR(INDEX(Input!$A$2:$A$501,MATCH(6,Input!$J$2:$J$501,0)),"")</f>
        <v/>
      </c>
      <c r="B7" t="str">
        <f>IFERROR(INDEX(Input!$B$2:$B$501,MATCH(6,Input!$J$2:$J$501,0)),"")</f>
        <v/>
      </c>
      <c r="C7" t="str">
        <f>IFERROR(INDEX(Input!$C$2:$C$501,MATCH(6,Input!$J$2:$J$501,0)),"")</f>
        <v/>
      </c>
      <c r="D7" t="str">
        <f>IFERROR(INDEX(Input!$D$2:$D$501,MATCH(6,Input!$J$2:$J$501,0)),"")</f>
        <v/>
      </c>
      <c r="E7" s="3" t="str">
        <f>IFERROR(INDEX(Input!$E$2:$E$501,MATCH(6,Input!$J$2:$J$501,0)),"")</f>
        <v/>
      </c>
      <c r="F7" t="str">
        <f>IFERROR(INDEX(Input!$F$2:$F$501,MATCH(6,Input!$J$2:$J$501,0)),"")</f>
        <v/>
      </c>
      <c r="G7" s="3" t="str">
        <f>IFERROR(INDEX(Input!$G$2:$G$501,MATCH(6,Input!$J$2:$J$501,0)),"")</f>
        <v/>
      </c>
      <c r="H7" t="str">
        <f>IFERROR(INDEX(Input!$H$2:$H$501,MATCH(6,Input!$J$2:$J$501,0)),"")</f>
        <v/>
      </c>
    </row>
    <row r="8" spans="1:8" x14ac:dyDescent="0.35">
      <c r="A8" t="str">
        <f>IFERROR(INDEX(Input!$A$2:$A$501,MATCH(7,Input!$J$2:$J$501,0)),"")</f>
        <v/>
      </c>
      <c r="B8" t="str">
        <f>IFERROR(INDEX(Input!$B$2:$B$501,MATCH(7,Input!$J$2:$J$501,0)),"")</f>
        <v/>
      </c>
      <c r="C8" t="str">
        <f>IFERROR(INDEX(Input!$C$2:$C$501,MATCH(7,Input!$J$2:$J$501,0)),"")</f>
        <v/>
      </c>
      <c r="D8" t="str">
        <f>IFERROR(INDEX(Input!$D$2:$D$501,MATCH(7,Input!$J$2:$J$501,0)),"")</f>
        <v/>
      </c>
      <c r="E8" s="3" t="str">
        <f>IFERROR(INDEX(Input!$E$2:$E$501,MATCH(7,Input!$J$2:$J$501,0)),"")</f>
        <v/>
      </c>
      <c r="F8" t="str">
        <f>IFERROR(INDEX(Input!$F$2:$F$501,MATCH(7,Input!$J$2:$J$501,0)),"")</f>
        <v/>
      </c>
      <c r="G8" s="3" t="str">
        <f>IFERROR(INDEX(Input!$G$2:$G$501,MATCH(7,Input!$J$2:$J$501,0)),"")</f>
        <v/>
      </c>
      <c r="H8" t="str">
        <f>IFERROR(INDEX(Input!$H$2:$H$501,MATCH(7,Input!$J$2:$J$501,0)),"")</f>
        <v/>
      </c>
    </row>
    <row r="9" spans="1:8" x14ac:dyDescent="0.35">
      <c r="A9" t="str">
        <f>IFERROR(INDEX(Input!$A$2:$A$501,MATCH(8,Input!$J$2:$J$501,0)),"")</f>
        <v/>
      </c>
      <c r="B9" t="str">
        <f>IFERROR(INDEX(Input!$B$2:$B$501,MATCH(8,Input!$J$2:$J$501,0)),"")</f>
        <v/>
      </c>
      <c r="C9" t="str">
        <f>IFERROR(INDEX(Input!$C$2:$C$501,MATCH(8,Input!$J$2:$J$501,0)),"")</f>
        <v/>
      </c>
      <c r="D9" t="str">
        <f>IFERROR(INDEX(Input!$D$2:$D$501,MATCH(8,Input!$J$2:$J$501,0)),"")</f>
        <v/>
      </c>
      <c r="E9" s="3" t="str">
        <f>IFERROR(INDEX(Input!$E$2:$E$501,MATCH(8,Input!$J$2:$J$501,0)),"")</f>
        <v/>
      </c>
      <c r="F9" t="str">
        <f>IFERROR(INDEX(Input!$F$2:$F$501,MATCH(8,Input!$J$2:$J$501,0)),"")</f>
        <v/>
      </c>
      <c r="G9" s="3" t="str">
        <f>IFERROR(INDEX(Input!$G$2:$G$501,MATCH(8,Input!$J$2:$J$501,0)),"")</f>
        <v/>
      </c>
      <c r="H9" t="str">
        <f>IFERROR(INDEX(Input!$H$2:$H$501,MATCH(8,Input!$J$2:$J$501,0)),"")</f>
        <v/>
      </c>
    </row>
    <row r="10" spans="1:8" x14ac:dyDescent="0.35">
      <c r="A10" t="str">
        <f>IFERROR(INDEX(Input!$A$2:$A$501,MATCH(9,Input!$J$2:$J$501,0)),"")</f>
        <v/>
      </c>
      <c r="B10" t="str">
        <f>IFERROR(INDEX(Input!$B$2:$B$501,MATCH(9,Input!$J$2:$J$501,0)),"")</f>
        <v/>
      </c>
      <c r="C10" t="str">
        <f>IFERROR(INDEX(Input!$C$2:$C$501,MATCH(9,Input!$J$2:$J$501,0)),"")</f>
        <v/>
      </c>
      <c r="D10" t="str">
        <f>IFERROR(INDEX(Input!$D$2:$D$501,MATCH(9,Input!$J$2:$J$501,0)),"")</f>
        <v/>
      </c>
      <c r="E10" s="3" t="str">
        <f>IFERROR(INDEX(Input!$E$2:$E$501,MATCH(9,Input!$J$2:$J$501,0)),"")</f>
        <v/>
      </c>
      <c r="F10" t="str">
        <f>IFERROR(INDEX(Input!$F$2:$F$501,MATCH(9,Input!$J$2:$J$501,0)),"")</f>
        <v/>
      </c>
      <c r="G10" s="3" t="str">
        <f>IFERROR(INDEX(Input!$G$2:$G$501,MATCH(9,Input!$J$2:$J$501,0)),"")</f>
        <v/>
      </c>
      <c r="H10" t="str">
        <f>IFERROR(INDEX(Input!$H$2:$H$501,MATCH(9,Input!$J$2:$J$501,0)),"")</f>
        <v/>
      </c>
    </row>
    <row r="11" spans="1:8" x14ac:dyDescent="0.35">
      <c r="A11" t="str">
        <f>IFERROR(INDEX(Input!$A$2:$A$501,MATCH(10,Input!$J$2:$J$501,0)),"")</f>
        <v/>
      </c>
      <c r="B11" t="str">
        <f>IFERROR(INDEX(Input!$B$2:$B$501,MATCH(10,Input!$J$2:$J$501,0)),"")</f>
        <v/>
      </c>
      <c r="C11" t="str">
        <f>IFERROR(INDEX(Input!$C$2:$C$501,MATCH(10,Input!$J$2:$J$501,0)),"")</f>
        <v/>
      </c>
      <c r="D11" t="str">
        <f>IFERROR(INDEX(Input!$D$2:$D$501,MATCH(10,Input!$J$2:$J$501,0)),"")</f>
        <v/>
      </c>
      <c r="E11" s="3" t="str">
        <f>IFERROR(INDEX(Input!$E$2:$E$501,MATCH(10,Input!$J$2:$J$501,0)),"")</f>
        <v/>
      </c>
      <c r="F11" t="str">
        <f>IFERROR(INDEX(Input!$F$2:$F$501,MATCH(10,Input!$J$2:$J$501,0)),"")</f>
        <v/>
      </c>
      <c r="G11" s="3" t="str">
        <f>IFERROR(INDEX(Input!$G$2:$G$501,MATCH(10,Input!$J$2:$J$501,0)),"")</f>
        <v/>
      </c>
      <c r="H11" t="str">
        <f>IFERROR(INDEX(Input!$H$2:$H$501,MATCH(10,Input!$J$2:$J$501,0)),"")</f>
        <v/>
      </c>
    </row>
    <row r="12" spans="1:8" x14ac:dyDescent="0.35">
      <c r="A12" t="str">
        <f>IFERROR(INDEX(Input!$A$2:$A$501,MATCH(11,Input!$J$2:$J$501,0)),"")</f>
        <v/>
      </c>
      <c r="B12" t="str">
        <f>IFERROR(INDEX(Input!$B$2:$B$501,MATCH(11,Input!$J$2:$J$501,0)),"")</f>
        <v/>
      </c>
      <c r="C12" t="str">
        <f>IFERROR(INDEX(Input!$C$2:$C$501,MATCH(11,Input!$J$2:$J$501,0)),"")</f>
        <v/>
      </c>
      <c r="D12" t="str">
        <f>IFERROR(INDEX(Input!$D$2:$D$501,MATCH(11,Input!$J$2:$J$501,0)),"")</f>
        <v/>
      </c>
      <c r="E12" s="3" t="str">
        <f>IFERROR(INDEX(Input!$E$2:$E$501,MATCH(11,Input!$J$2:$J$501,0)),"")</f>
        <v/>
      </c>
      <c r="F12" t="str">
        <f>IFERROR(INDEX(Input!$F$2:$F$501,MATCH(11,Input!$J$2:$J$501,0)),"")</f>
        <v/>
      </c>
      <c r="G12" s="3" t="str">
        <f>IFERROR(INDEX(Input!$G$2:$G$501,MATCH(11,Input!$J$2:$J$501,0)),"")</f>
        <v/>
      </c>
      <c r="H12" t="str">
        <f>IFERROR(INDEX(Input!$H$2:$H$501,MATCH(11,Input!$J$2:$J$501,0)),"")</f>
        <v/>
      </c>
    </row>
    <row r="13" spans="1:8" x14ac:dyDescent="0.35">
      <c r="A13" t="str">
        <f>IFERROR(INDEX(Input!$A$2:$A$501,MATCH(12,Input!$J$2:$J$501,0)),"")</f>
        <v/>
      </c>
      <c r="B13" t="str">
        <f>IFERROR(INDEX(Input!$B$2:$B$501,MATCH(12,Input!$J$2:$J$501,0)),"")</f>
        <v/>
      </c>
      <c r="C13" t="str">
        <f>IFERROR(INDEX(Input!$C$2:$C$501,MATCH(12,Input!$J$2:$J$501,0)),"")</f>
        <v/>
      </c>
      <c r="D13" t="str">
        <f>IFERROR(INDEX(Input!$D$2:$D$501,MATCH(12,Input!$J$2:$J$501,0)),"")</f>
        <v/>
      </c>
      <c r="E13" s="3" t="str">
        <f>IFERROR(INDEX(Input!$E$2:$E$501,MATCH(12,Input!$J$2:$J$501,0)),"")</f>
        <v/>
      </c>
      <c r="F13" t="str">
        <f>IFERROR(INDEX(Input!$F$2:$F$501,MATCH(12,Input!$J$2:$J$501,0)),"")</f>
        <v/>
      </c>
      <c r="G13" s="3" t="str">
        <f>IFERROR(INDEX(Input!$G$2:$G$501,MATCH(12,Input!$J$2:$J$501,0)),"")</f>
        <v/>
      </c>
      <c r="H13" t="str">
        <f>IFERROR(INDEX(Input!$H$2:$H$501,MATCH(12,Input!$J$2:$J$501,0)),"")</f>
        <v/>
      </c>
    </row>
    <row r="14" spans="1:8" x14ac:dyDescent="0.35">
      <c r="A14" t="str">
        <f>IFERROR(INDEX(Input!$A$2:$A$501,MATCH(13,Input!$J$2:$J$501,0)),"")</f>
        <v/>
      </c>
      <c r="B14" t="str">
        <f>IFERROR(INDEX(Input!$B$2:$B$501,MATCH(13,Input!$J$2:$J$501,0)),"")</f>
        <v/>
      </c>
      <c r="C14" t="str">
        <f>IFERROR(INDEX(Input!$C$2:$C$501,MATCH(13,Input!$J$2:$J$501,0)),"")</f>
        <v/>
      </c>
      <c r="D14" t="str">
        <f>IFERROR(INDEX(Input!$D$2:$D$501,MATCH(13,Input!$J$2:$J$501,0)),"")</f>
        <v/>
      </c>
      <c r="E14" s="3" t="str">
        <f>IFERROR(INDEX(Input!$E$2:$E$501,MATCH(13,Input!$J$2:$J$501,0)),"")</f>
        <v/>
      </c>
      <c r="F14" t="str">
        <f>IFERROR(INDEX(Input!$F$2:$F$501,MATCH(13,Input!$J$2:$J$501,0)),"")</f>
        <v/>
      </c>
      <c r="G14" s="3" t="str">
        <f>IFERROR(INDEX(Input!$G$2:$G$501,MATCH(13,Input!$J$2:$J$501,0)),"")</f>
        <v/>
      </c>
      <c r="H14" t="str">
        <f>IFERROR(INDEX(Input!$H$2:$H$501,MATCH(13,Input!$J$2:$J$501,0)),"")</f>
        <v/>
      </c>
    </row>
    <row r="15" spans="1:8" x14ac:dyDescent="0.35">
      <c r="A15" t="str">
        <f>IFERROR(INDEX(Input!$A$2:$A$501,MATCH(14,Input!$J$2:$J$501,0)),"")</f>
        <v/>
      </c>
      <c r="B15" t="str">
        <f>IFERROR(INDEX(Input!$B$2:$B$501,MATCH(14,Input!$J$2:$J$501,0)),"")</f>
        <v/>
      </c>
      <c r="C15" t="str">
        <f>IFERROR(INDEX(Input!$C$2:$C$501,MATCH(14,Input!$J$2:$J$501,0)),"")</f>
        <v/>
      </c>
      <c r="D15" t="str">
        <f>IFERROR(INDEX(Input!$D$2:$D$501,MATCH(14,Input!$J$2:$J$501,0)),"")</f>
        <v/>
      </c>
      <c r="E15" s="3" t="str">
        <f>IFERROR(INDEX(Input!$E$2:$E$501,MATCH(14,Input!$J$2:$J$501,0)),"")</f>
        <v/>
      </c>
      <c r="F15" t="str">
        <f>IFERROR(INDEX(Input!$F$2:$F$501,MATCH(14,Input!$J$2:$J$501,0)),"")</f>
        <v/>
      </c>
      <c r="G15" s="3" t="str">
        <f>IFERROR(INDEX(Input!$G$2:$G$501,MATCH(14,Input!$J$2:$J$501,0)),"")</f>
        <v/>
      </c>
      <c r="H15" t="str">
        <f>IFERROR(INDEX(Input!$H$2:$H$501,MATCH(14,Input!$J$2:$J$501,0)),"")</f>
        <v/>
      </c>
    </row>
    <row r="16" spans="1:8" x14ac:dyDescent="0.35">
      <c r="A16" t="str">
        <f>IFERROR(INDEX(Input!$A$2:$A$501,MATCH(15,Input!$J$2:$J$501,0)),"")</f>
        <v/>
      </c>
      <c r="B16" t="str">
        <f>IFERROR(INDEX(Input!$B$2:$B$501,MATCH(15,Input!$J$2:$J$501,0)),"")</f>
        <v/>
      </c>
      <c r="C16" t="str">
        <f>IFERROR(INDEX(Input!$C$2:$C$501,MATCH(15,Input!$J$2:$J$501,0)),"")</f>
        <v/>
      </c>
      <c r="D16" t="str">
        <f>IFERROR(INDEX(Input!$D$2:$D$501,MATCH(15,Input!$J$2:$J$501,0)),"")</f>
        <v/>
      </c>
      <c r="E16" s="3" t="str">
        <f>IFERROR(INDEX(Input!$E$2:$E$501,MATCH(15,Input!$J$2:$J$501,0)),"")</f>
        <v/>
      </c>
      <c r="F16" t="str">
        <f>IFERROR(INDEX(Input!$F$2:$F$501,MATCH(15,Input!$J$2:$J$501,0)),"")</f>
        <v/>
      </c>
      <c r="G16" s="3" t="str">
        <f>IFERROR(INDEX(Input!$G$2:$G$501,MATCH(15,Input!$J$2:$J$501,0)),"")</f>
        <v/>
      </c>
      <c r="H16" t="str">
        <f>IFERROR(INDEX(Input!$H$2:$H$501,MATCH(15,Input!$J$2:$J$501,0)),"")</f>
        <v/>
      </c>
    </row>
    <row r="17" spans="1:8" x14ac:dyDescent="0.35">
      <c r="A17" t="str">
        <f>IFERROR(INDEX(Input!$A$2:$A$501,MATCH(16,Input!$J$2:$J$501,0)),"")</f>
        <v/>
      </c>
      <c r="B17" t="str">
        <f>IFERROR(INDEX(Input!$B$2:$B$501,MATCH(16,Input!$J$2:$J$501,0)),"")</f>
        <v/>
      </c>
      <c r="C17" t="str">
        <f>IFERROR(INDEX(Input!$C$2:$C$501,MATCH(16,Input!$J$2:$J$501,0)),"")</f>
        <v/>
      </c>
      <c r="D17" t="str">
        <f>IFERROR(INDEX(Input!$D$2:$D$501,MATCH(16,Input!$J$2:$J$501,0)),"")</f>
        <v/>
      </c>
      <c r="E17" s="3" t="str">
        <f>IFERROR(INDEX(Input!$E$2:$E$501,MATCH(16,Input!$J$2:$J$501,0)),"")</f>
        <v/>
      </c>
      <c r="F17" t="str">
        <f>IFERROR(INDEX(Input!$F$2:$F$501,MATCH(16,Input!$J$2:$J$501,0)),"")</f>
        <v/>
      </c>
      <c r="G17" s="3" t="str">
        <f>IFERROR(INDEX(Input!$G$2:$G$501,MATCH(16,Input!$J$2:$J$501,0)),"")</f>
        <v/>
      </c>
      <c r="H17" t="str">
        <f>IFERROR(INDEX(Input!$H$2:$H$501,MATCH(16,Input!$J$2:$J$501,0)),"")</f>
        <v/>
      </c>
    </row>
    <row r="18" spans="1:8" x14ac:dyDescent="0.35">
      <c r="A18" t="str">
        <f>IFERROR(INDEX(Input!$A$2:$A$501,MATCH(17,Input!$J$2:$J$501,0)),"")</f>
        <v/>
      </c>
      <c r="B18" t="str">
        <f>IFERROR(INDEX(Input!$B$2:$B$501,MATCH(17,Input!$J$2:$J$501,0)),"")</f>
        <v/>
      </c>
      <c r="C18" t="str">
        <f>IFERROR(INDEX(Input!$C$2:$C$501,MATCH(17,Input!$J$2:$J$501,0)),"")</f>
        <v/>
      </c>
      <c r="D18" t="str">
        <f>IFERROR(INDEX(Input!$D$2:$D$501,MATCH(17,Input!$J$2:$J$501,0)),"")</f>
        <v/>
      </c>
      <c r="E18" s="3" t="str">
        <f>IFERROR(INDEX(Input!$E$2:$E$501,MATCH(17,Input!$J$2:$J$501,0)),"")</f>
        <v/>
      </c>
      <c r="F18" t="str">
        <f>IFERROR(INDEX(Input!$F$2:$F$501,MATCH(17,Input!$J$2:$J$501,0)),"")</f>
        <v/>
      </c>
      <c r="G18" s="3" t="str">
        <f>IFERROR(INDEX(Input!$G$2:$G$501,MATCH(17,Input!$J$2:$J$501,0)),"")</f>
        <v/>
      </c>
      <c r="H18" t="str">
        <f>IFERROR(INDEX(Input!$H$2:$H$501,MATCH(17,Input!$J$2:$J$501,0)),"")</f>
        <v/>
      </c>
    </row>
    <row r="19" spans="1:8" x14ac:dyDescent="0.35">
      <c r="A19" t="str">
        <f>IFERROR(INDEX(Input!$A$2:$A$501,MATCH(18,Input!$J$2:$J$501,0)),"")</f>
        <v/>
      </c>
      <c r="B19" t="str">
        <f>IFERROR(INDEX(Input!$B$2:$B$501,MATCH(18,Input!$J$2:$J$501,0)),"")</f>
        <v/>
      </c>
      <c r="C19" t="str">
        <f>IFERROR(INDEX(Input!$C$2:$C$501,MATCH(18,Input!$J$2:$J$501,0)),"")</f>
        <v/>
      </c>
      <c r="D19" t="str">
        <f>IFERROR(INDEX(Input!$D$2:$D$501,MATCH(18,Input!$J$2:$J$501,0)),"")</f>
        <v/>
      </c>
      <c r="E19" s="3" t="str">
        <f>IFERROR(INDEX(Input!$E$2:$E$501,MATCH(18,Input!$J$2:$J$501,0)),"")</f>
        <v/>
      </c>
      <c r="F19" t="str">
        <f>IFERROR(INDEX(Input!$F$2:$F$501,MATCH(18,Input!$J$2:$J$501,0)),"")</f>
        <v/>
      </c>
      <c r="G19" s="3" t="str">
        <f>IFERROR(INDEX(Input!$G$2:$G$501,MATCH(18,Input!$J$2:$J$501,0)),"")</f>
        <v/>
      </c>
      <c r="H19" t="str">
        <f>IFERROR(INDEX(Input!$H$2:$H$501,MATCH(18,Input!$J$2:$J$501,0)),"")</f>
        <v/>
      </c>
    </row>
    <row r="20" spans="1:8" x14ac:dyDescent="0.35">
      <c r="A20" t="str">
        <f>IFERROR(INDEX(Input!$A$2:$A$501,MATCH(19,Input!$J$2:$J$501,0)),"")</f>
        <v/>
      </c>
      <c r="B20" t="str">
        <f>IFERROR(INDEX(Input!$B$2:$B$501,MATCH(19,Input!$J$2:$J$501,0)),"")</f>
        <v/>
      </c>
      <c r="C20" t="str">
        <f>IFERROR(INDEX(Input!$C$2:$C$501,MATCH(19,Input!$J$2:$J$501,0)),"")</f>
        <v/>
      </c>
      <c r="D20" t="str">
        <f>IFERROR(INDEX(Input!$D$2:$D$501,MATCH(19,Input!$J$2:$J$501,0)),"")</f>
        <v/>
      </c>
      <c r="E20" s="3" t="str">
        <f>IFERROR(INDEX(Input!$E$2:$E$501,MATCH(19,Input!$J$2:$J$501,0)),"")</f>
        <v/>
      </c>
      <c r="F20" t="str">
        <f>IFERROR(INDEX(Input!$F$2:$F$501,MATCH(19,Input!$J$2:$J$501,0)),"")</f>
        <v/>
      </c>
      <c r="G20" s="3" t="str">
        <f>IFERROR(INDEX(Input!$G$2:$G$501,MATCH(19,Input!$J$2:$J$501,0)),"")</f>
        <v/>
      </c>
      <c r="H20" t="str">
        <f>IFERROR(INDEX(Input!$H$2:$H$501,MATCH(19,Input!$J$2:$J$501,0)),"")</f>
        <v/>
      </c>
    </row>
    <row r="21" spans="1:8" x14ac:dyDescent="0.35">
      <c r="A21" t="str">
        <f>IFERROR(INDEX(Input!$A$2:$A$501,MATCH(20,Input!$J$2:$J$501,0)),"")</f>
        <v/>
      </c>
      <c r="B21" t="str">
        <f>IFERROR(INDEX(Input!$B$2:$B$501,MATCH(20,Input!$J$2:$J$501,0)),"")</f>
        <v/>
      </c>
      <c r="C21" t="str">
        <f>IFERROR(INDEX(Input!$C$2:$C$501,MATCH(20,Input!$J$2:$J$501,0)),"")</f>
        <v/>
      </c>
      <c r="D21" t="str">
        <f>IFERROR(INDEX(Input!$D$2:$D$501,MATCH(20,Input!$J$2:$J$501,0)),"")</f>
        <v/>
      </c>
      <c r="E21" s="3" t="str">
        <f>IFERROR(INDEX(Input!$E$2:$E$501,MATCH(20,Input!$J$2:$J$501,0)),"")</f>
        <v/>
      </c>
      <c r="F21" t="str">
        <f>IFERROR(INDEX(Input!$F$2:$F$501,MATCH(20,Input!$J$2:$J$501,0)),"")</f>
        <v/>
      </c>
      <c r="G21" s="3" t="str">
        <f>IFERROR(INDEX(Input!$G$2:$G$501,MATCH(20,Input!$J$2:$J$501,0)),"")</f>
        <v/>
      </c>
      <c r="H21" t="str">
        <f>IFERROR(INDEX(Input!$H$2:$H$501,MATCH(20,Input!$J$2:$J$501,0)),"")</f>
        <v/>
      </c>
    </row>
    <row r="22" spans="1:8" x14ac:dyDescent="0.35">
      <c r="A22" t="str">
        <f>IFERROR(INDEX(Input!$A$2:$A$501,MATCH(21,Input!$J$2:$J$501,0)),"")</f>
        <v/>
      </c>
      <c r="B22" t="str">
        <f>IFERROR(INDEX(Input!$B$2:$B$501,MATCH(21,Input!$J$2:$J$501,0)),"")</f>
        <v/>
      </c>
      <c r="C22" t="str">
        <f>IFERROR(INDEX(Input!$C$2:$C$501,MATCH(21,Input!$J$2:$J$501,0)),"")</f>
        <v/>
      </c>
      <c r="D22" t="str">
        <f>IFERROR(INDEX(Input!$D$2:$D$501,MATCH(21,Input!$J$2:$J$501,0)),"")</f>
        <v/>
      </c>
      <c r="E22" s="3" t="str">
        <f>IFERROR(INDEX(Input!$E$2:$E$501,MATCH(21,Input!$J$2:$J$501,0)),"")</f>
        <v/>
      </c>
      <c r="F22" t="str">
        <f>IFERROR(INDEX(Input!$F$2:$F$501,MATCH(21,Input!$J$2:$J$501,0)),"")</f>
        <v/>
      </c>
      <c r="G22" s="3" t="str">
        <f>IFERROR(INDEX(Input!$G$2:$G$501,MATCH(21,Input!$J$2:$J$501,0)),"")</f>
        <v/>
      </c>
      <c r="H22" t="str">
        <f>IFERROR(INDEX(Input!$H$2:$H$501,MATCH(21,Input!$J$2:$J$501,0)),"")</f>
        <v/>
      </c>
    </row>
    <row r="23" spans="1:8" x14ac:dyDescent="0.35">
      <c r="A23" t="str">
        <f>IFERROR(INDEX(Input!$A$2:$A$501,MATCH(22,Input!$J$2:$J$501,0)),"")</f>
        <v/>
      </c>
      <c r="B23" t="str">
        <f>IFERROR(INDEX(Input!$B$2:$B$501,MATCH(22,Input!$J$2:$J$501,0)),"")</f>
        <v/>
      </c>
      <c r="C23" t="str">
        <f>IFERROR(INDEX(Input!$C$2:$C$501,MATCH(22,Input!$J$2:$J$501,0)),"")</f>
        <v/>
      </c>
      <c r="D23" t="str">
        <f>IFERROR(INDEX(Input!$D$2:$D$501,MATCH(22,Input!$J$2:$J$501,0)),"")</f>
        <v/>
      </c>
      <c r="E23" s="3" t="str">
        <f>IFERROR(INDEX(Input!$E$2:$E$501,MATCH(22,Input!$J$2:$J$501,0)),"")</f>
        <v/>
      </c>
      <c r="F23" t="str">
        <f>IFERROR(INDEX(Input!$F$2:$F$501,MATCH(22,Input!$J$2:$J$501,0)),"")</f>
        <v/>
      </c>
      <c r="G23" s="3" t="str">
        <f>IFERROR(INDEX(Input!$G$2:$G$501,MATCH(22,Input!$J$2:$J$501,0)),"")</f>
        <v/>
      </c>
      <c r="H23" t="str">
        <f>IFERROR(INDEX(Input!$H$2:$H$501,MATCH(22,Input!$J$2:$J$501,0)),"")</f>
        <v/>
      </c>
    </row>
    <row r="24" spans="1:8" x14ac:dyDescent="0.35">
      <c r="A24" t="str">
        <f>IFERROR(INDEX(Input!$A$2:$A$501,MATCH(23,Input!$J$2:$J$501,0)),"")</f>
        <v/>
      </c>
      <c r="B24" t="str">
        <f>IFERROR(INDEX(Input!$B$2:$B$501,MATCH(23,Input!$J$2:$J$501,0)),"")</f>
        <v/>
      </c>
      <c r="C24" t="str">
        <f>IFERROR(INDEX(Input!$C$2:$C$501,MATCH(23,Input!$J$2:$J$501,0)),"")</f>
        <v/>
      </c>
      <c r="D24" t="str">
        <f>IFERROR(INDEX(Input!$D$2:$D$501,MATCH(23,Input!$J$2:$J$501,0)),"")</f>
        <v/>
      </c>
      <c r="E24" s="3" t="str">
        <f>IFERROR(INDEX(Input!$E$2:$E$501,MATCH(23,Input!$J$2:$J$501,0)),"")</f>
        <v/>
      </c>
      <c r="F24" t="str">
        <f>IFERROR(INDEX(Input!$F$2:$F$501,MATCH(23,Input!$J$2:$J$501,0)),"")</f>
        <v/>
      </c>
      <c r="G24" s="3" t="str">
        <f>IFERROR(INDEX(Input!$G$2:$G$501,MATCH(23,Input!$J$2:$J$501,0)),"")</f>
        <v/>
      </c>
      <c r="H24" t="str">
        <f>IFERROR(INDEX(Input!$H$2:$H$501,MATCH(23,Input!$J$2:$J$501,0)),"")</f>
        <v/>
      </c>
    </row>
    <row r="25" spans="1:8" x14ac:dyDescent="0.35">
      <c r="A25" t="str">
        <f>IFERROR(INDEX(Input!$A$2:$A$501,MATCH(24,Input!$J$2:$J$501,0)),"")</f>
        <v/>
      </c>
      <c r="B25" t="str">
        <f>IFERROR(INDEX(Input!$B$2:$B$501,MATCH(24,Input!$J$2:$J$501,0)),"")</f>
        <v/>
      </c>
      <c r="C25" t="str">
        <f>IFERROR(INDEX(Input!$C$2:$C$501,MATCH(24,Input!$J$2:$J$501,0)),"")</f>
        <v/>
      </c>
      <c r="D25" t="str">
        <f>IFERROR(INDEX(Input!$D$2:$D$501,MATCH(24,Input!$J$2:$J$501,0)),"")</f>
        <v/>
      </c>
      <c r="E25" s="3" t="str">
        <f>IFERROR(INDEX(Input!$E$2:$E$501,MATCH(24,Input!$J$2:$J$501,0)),"")</f>
        <v/>
      </c>
      <c r="F25" t="str">
        <f>IFERROR(INDEX(Input!$F$2:$F$501,MATCH(24,Input!$J$2:$J$501,0)),"")</f>
        <v/>
      </c>
      <c r="G25" s="3" t="str">
        <f>IFERROR(INDEX(Input!$G$2:$G$501,MATCH(24,Input!$J$2:$J$501,0)),"")</f>
        <v/>
      </c>
      <c r="H25" t="str">
        <f>IFERROR(INDEX(Input!$H$2:$H$501,MATCH(24,Input!$J$2:$J$501,0)),"")</f>
        <v/>
      </c>
    </row>
    <row r="26" spans="1:8" x14ac:dyDescent="0.35">
      <c r="A26" t="str">
        <f>IFERROR(INDEX(Input!$A$2:$A$501,MATCH(25,Input!$J$2:$J$501,0)),"")</f>
        <v/>
      </c>
      <c r="B26" t="str">
        <f>IFERROR(INDEX(Input!$B$2:$B$501,MATCH(25,Input!$J$2:$J$501,0)),"")</f>
        <v/>
      </c>
      <c r="C26" t="str">
        <f>IFERROR(INDEX(Input!$C$2:$C$501,MATCH(25,Input!$J$2:$J$501,0)),"")</f>
        <v/>
      </c>
      <c r="D26" t="str">
        <f>IFERROR(INDEX(Input!$D$2:$D$501,MATCH(25,Input!$J$2:$J$501,0)),"")</f>
        <v/>
      </c>
      <c r="E26" s="3" t="str">
        <f>IFERROR(INDEX(Input!$E$2:$E$501,MATCH(25,Input!$J$2:$J$501,0)),"")</f>
        <v/>
      </c>
      <c r="F26" t="str">
        <f>IFERROR(INDEX(Input!$F$2:$F$501,MATCH(25,Input!$J$2:$J$501,0)),"")</f>
        <v/>
      </c>
      <c r="G26" s="3" t="str">
        <f>IFERROR(INDEX(Input!$G$2:$G$501,MATCH(25,Input!$J$2:$J$501,0)),"")</f>
        <v/>
      </c>
      <c r="H26" t="str">
        <f>IFERROR(INDEX(Input!$H$2:$H$501,MATCH(25,Input!$J$2:$J$501,0)),"")</f>
        <v/>
      </c>
    </row>
    <row r="27" spans="1:8" x14ac:dyDescent="0.35">
      <c r="A27" t="str">
        <f>IFERROR(INDEX(Input!$A$2:$A$501,MATCH(26,Input!$J$2:$J$501,0)),"")</f>
        <v/>
      </c>
      <c r="B27" t="str">
        <f>IFERROR(INDEX(Input!$B$2:$B$501,MATCH(26,Input!$J$2:$J$501,0)),"")</f>
        <v/>
      </c>
      <c r="C27" t="str">
        <f>IFERROR(INDEX(Input!$C$2:$C$501,MATCH(26,Input!$J$2:$J$501,0)),"")</f>
        <v/>
      </c>
      <c r="D27" t="str">
        <f>IFERROR(INDEX(Input!$D$2:$D$501,MATCH(26,Input!$J$2:$J$501,0)),"")</f>
        <v/>
      </c>
      <c r="E27" s="3" t="str">
        <f>IFERROR(INDEX(Input!$E$2:$E$501,MATCH(26,Input!$J$2:$J$501,0)),"")</f>
        <v/>
      </c>
      <c r="F27" t="str">
        <f>IFERROR(INDEX(Input!$F$2:$F$501,MATCH(26,Input!$J$2:$J$501,0)),"")</f>
        <v/>
      </c>
      <c r="G27" s="3" t="str">
        <f>IFERROR(INDEX(Input!$G$2:$G$501,MATCH(26,Input!$J$2:$J$501,0)),"")</f>
        <v/>
      </c>
      <c r="H27" t="str">
        <f>IFERROR(INDEX(Input!$H$2:$H$501,MATCH(26,Input!$J$2:$J$501,0)),"")</f>
        <v/>
      </c>
    </row>
    <row r="28" spans="1:8" x14ac:dyDescent="0.35">
      <c r="A28" t="str">
        <f>IFERROR(INDEX(Input!$A$2:$A$501,MATCH(27,Input!$J$2:$J$501,0)),"")</f>
        <v/>
      </c>
      <c r="B28" t="str">
        <f>IFERROR(INDEX(Input!$B$2:$B$501,MATCH(27,Input!$J$2:$J$501,0)),"")</f>
        <v/>
      </c>
      <c r="C28" t="str">
        <f>IFERROR(INDEX(Input!$C$2:$C$501,MATCH(27,Input!$J$2:$J$501,0)),"")</f>
        <v/>
      </c>
      <c r="D28" t="str">
        <f>IFERROR(INDEX(Input!$D$2:$D$501,MATCH(27,Input!$J$2:$J$501,0)),"")</f>
        <v/>
      </c>
      <c r="E28" s="3" t="str">
        <f>IFERROR(INDEX(Input!$E$2:$E$501,MATCH(27,Input!$J$2:$J$501,0)),"")</f>
        <v/>
      </c>
      <c r="F28" t="str">
        <f>IFERROR(INDEX(Input!$F$2:$F$501,MATCH(27,Input!$J$2:$J$501,0)),"")</f>
        <v/>
      </c>
      <c r="G28" s="3" t="str">
        <f>IFERROR(INDEX(Input!$G$2:$G$501,MATCH(27,Input!$J$2:$J$501,0)),"")</f>
        <v/>
      </c>
      <c r="H28" t="str">
        <f>IFERROR(INDEX(Input!$H$2:$H$501,MATCH(27,Input!$J$2:$J$501,0)),"")</f>
        <v/>
      </c>
    </row>
    <row r="29" spans="1:8" x14ac:dyDescent="0.35">
      <c r="A29" t="str">
        <f>IFERROR(INDEX(Input!$A$2:$A$501,MATCH(28,Input!$J$2:$J$501,0)),"")</f>
        <v/>
      </c>
      <c r="B29" t="str">
        <f>IFERROR(INDEX(Input!$B$2:$B$501,MATCH(28,Input!$J$2:$J$501,0)),"")</f>
        <v/>
      </c>
      <c r="C29" t="str">
        <f>IFERROR(INDEX(Input!$C$2:$C$501,MATCH(28,Input!$J$2:$J$501,0)),"")</f>
        <v/>
      </c>
      <c r="D29" t="str">
        <f>IFERROR(INDEX(Input!$D$2:$D$501,MATCH(28,Input!$J$2:$J$501,0)),"")</f>
        <v/>
      </c>
      <c r="E29" s="3" t="str">
        <f>IFERROR(INDEX(Input!$E$2:$E$501,MATCH(28,Input!$J$2:$J$501,0)),"")</f>
        <v/>
      </c>
      <c r="F29" t="str">
        <f>IFERROR(INDEX(Input!$F$2:$F$501,MATCH(28,Input!$J$2:$J$501,0)),"")</f>
        <v/>
      </c>
      <c r="G29" s="3" t="str">
        <f>IFERROR(INDEX(Input!$G$2:$G$501,MATCH(28,Input!$J$2:$J$501,0)),"")</f>
        <v/>
      </c>
      <c r="H29" t="str">
        <f>IFERROR(INDEX(Input!$H$2:$H$501,MATCH(28,Input!$J$2:$J$501,0)),"")</f>
        <v/>
      </c>
    </row>
    <row r="30" spans="1:8" x14ac:dyDescent="0.35">
      <c r="A30" t="str">
        <f>IFERROR(INDEX(Input!$A$2:$A$501,MATCH(29,Input!$J$2:$J$501,0)),"")</f>
        <v/>
      </c>
      <c r="B30" t="str">
        <f>IFERROR(INDEX(Input!$B$2:$B$501,MATCH(29,Input!$J$2:$J$501,0)),"")</f>
        <v/>
      </c>
      <c r="C30" t="str">
        <f>IFERROR(INDEX(Input!$C$2:$C$501,MATCH(29,Input!$J$2:$J$501,0)),"")</f>
        <v/>
      </c>
      <c r="D30" t="str">
        <f>IFERROR(INDEX(Input!$D$2:$D$501,MATCH(29,Input!$J$2:$J$501,0)),"")</f>
        <v/>
      </c>
      <c r="E30" s="3" t="str">
        <f>IFERROR(INDEX(Input!$E$2:$E$501,MATCH(29,Input!$J$2:$J$501,0)),"")</f>
        <v/>
      </c>
      <c r="F30" t="str">
        <f>IFERROR(INDEX(Input!$F$2:$F$501,MATCH(29,Input!$J$2:$J$501,0)),"")</f>
        <v/>
      </c>
      <c r="G30" s="3" t="str">
        <f>IFERROR(INDEX(Input!$G$2:$G$501,MATCH(29,Input!$J$2:$J$501,0)),"")</f>
        <v/>
      </c>
      <c r="H30" t="str">
        <f>IFERROR(INDEX(Input!$H$2:$H$501,MATCH(29,Input!$J$2:$J$501,0)),"")</f>
        <v/>
      </c>
    </row>
    <row r="31" spans="1:8" x14ac:dyDescent="0.35">
      <c r="A31" t="str">
        <f>IFERROR(INDEX(Input!$A$2:$A$501,MATCH(30,Input!$J$2:$J$501,0)),"")</f>
        <v/>
      </c>
      <c r="B31" t="str">
        <f>IFERROR(INDEX(Input!$B$2:$B$501,MATCH(30,Input!$J$2:$J$501,0)),"")</f>
        <v/>
      </c>
      <c r="C31" t="str">
        <f>IFERROR(INDEX(Input!$C$2:$C$501,MATCH(30,Input!$J$2:$J$501,0)),"")</f>
        <v/>
      </c>
      <c r="D31" t="str">
        <f>IFERROR(INDEX(Input!$D$2:$D$501,MATCH(30,Input!$J$2:$J$501,0)),"")</f>
        <v/>
      </c>
      <c r="E31" s="3" t="str">
        <f>IFERROR(INDEX(Input!$E$2:$E$501,MATCH(30,Input!$J$2:$J$501,0)),"")</f>
        <v/>
      </c>
      <c r="F31" t="str">
        <f>IFERROR(INDEX(Input!$F$2:$F$501,MATCH(30,Input!$J$2:$J$501,0)),"")</f>
        <v/>
      </c>
      <c r="G31" s="3" t="str">
        <f>IFERROR(INDEX(Input!$G$2:$G$501,MATCH(30,Input!$J$2:$J$501,0)),"")</f>
        <v/>
      </c>
      <c r="H31" t="str">
        <f>IFERROR(INDEX(Input!$H$2:$H$501,MATCH(30,Input!$J$2:$J$501,0)),"")</f>
        <v/>
      </c>
    </row>
    <row r="32" spans="1:8" x14ac:dyDescent="0.35">
      <c r="A32" t="str">
        <f>IFERROR(INDEX(Input!$A$2:$A$501,MATCH(31,Input!$J$2:$J$501,0)),"")</f>
        <v/>
      </c>
      <c r="B32" t="str">
        <f>IFERROR(INDEX(Input!$B$2:$B$501,MATCH(31,Input!$J$2:$J$501,0)),"")</f>
        <v/>
      </c>
      <c r="C32" t="str">
        <f>IFERROR(INDEX(Input!$C$2:$C$501,MATCH(31,Input!$J$2:$J$501,0)),"")</f>
        <v/>
      </c>
      <c r="D32" t="str">
        <f>IFERROR(INDEX(Input!$D$2:$D$501,MATCH(31,Input!$J$2:$J$501,0)),"")</f>
        <v/>
      </c>
      <c r="E32" s="3" t="str">
        <f>IFERROR(INDEX(Input!$E$2:$E$501,MATCH(31,Input!$J$2:$J$501,0)),"")</f>
        <v/>
      </c>
      <c r="F32" t="str">
        <f>IFERROR(INDEX(Input!$F$2:$F$501,MATCH(31,Input!$J$2:$J$501,0)),"")</f>
        <v/>
      </c>
      <c r="G32" s="3" t="str">
        <f>IFERROR(INDEX(Input!$G$2:$G$501,MATCH(31,Input!$J$2:$J$501,0)),"")</f>
        <v/>
      </c>
      <c r="H32" t="str">
        <f>IFERROR(INDEX(Input!$H$2:$H$501,MATCH(31,Input!$J$2:$J$501,0)),"")</f>
        <v/>
      </c>
    </row>
    <row r="33" spans="1:8" x14ac:dyDescent="0.35">
      <c r="A33" t="str">
        <f>IFERROR(INDEX(Input!$A$2:$A$501,MATCH(32,Input!$J$2:$J$501,0)),"")</f>
        <v/>
      </c>
      <c r="B33" t="str">
        <f>IFERROR(INDEX(Input!$B$2:$B$501,MATCH(32,Input!$J$2:$J$501,0)),"")</f>
        <v/>
      </c>
      <c r="C33" t="str">
        <f>IFERROR(INDEX(Input!$C$2:$C$501,MATCH(32,Input!$J$2:$J$501,0)),"")</f>
        <v/>
      </c>
      <c r="D33" t="str">
        <f>IFERROR(INDEX(Input!$D$2:$D$501,MATCH(32,Input!$J$2:$J$501,0)),"")</f>
        <v/>
      </c>
      <c r="E33" s="3" t="str">
        <f>IFERROR(INDEX(Input!$E$2:$E$501,MATCH(32,Input!$J$2:$J$501,0)),"")</f>
        <v/>
      </c>
      <c r="F33" t="str">
        <f>IFERROR(INDEX(Input!$F$2:$F$501,MATCH(32,Input!$J$2:$J$501,0)),"")</f>
        <v/>
      </c>
      <c r="G33" s="3" t="str">
        <f>IFERROR(INDEX(Input!$G$2:$G$501,MATCH(32,Input!$J$2:$J$501,0)),"")</f>
        <v/>
      </c>
      <c r="H33" t="str">
        <f>IFERROR(INDEX(Input!$H$2:$H$501,MATCH(32,Input!$J$2:$J$501,0)),"")</f>
        <v/>
      </c>
    </row>
    <row r="34" spans="1:8" x14ac:dyDescent="0.35">
      <c r="A34" t="str">
        <f>IFERROR(INDEX(Input!$A$2:$A$501,MATCH(33,Input!$J$2:$J$501,0)),"")</f>
        <v/>
      </c>
      <c r="B34" t="str">
        <f>IFERROR(INDEX(Input!$B$2:$B$501,MATCH(33,Input!$J$2:$J$501,0)),"")</f>
        <v/>
      </c>
      <c r="C34" t="str">
        <f>IFERROR(INDEX(Input!$C$2:$C$501,MATCH(33,Input!$J$2:$J$501,0)),"")</f>
        <v/>
      </c>
      <c r="D34" t="str">
        <f>IFERROR(INDEX(Input!$D$2:$D$501,MATCH(33,Input!$J$2:$J$501,0)),"")</f>
        <v/>
      </c>
      <c r="E34" s="3" t="str">
        <f>IFERROR(INDEX(Input!$E$2:$E$501,MATCH(33,Input!$J$2:$J$501,0)),"")</f>
        <v/>
      </c>
      <c r="F34" t="str">
        <f>IFERROR(INDEX(Input!$F$2:$F$501,MATCH(33,Input!$J$2:$J$501,0)),"")</f>
        <v/>
      </c>
      <c r="G34" s="3" t="str">
        <f>IFERROR(INDEX(Input!$G$2:$G$501,MATCH(33,Input!$J$2:$J$501,0)),"")</f>
        <v/>
      </c>
      <c r="H34" t="str">
        <f>IFERROR(INDEX(Input!$H$2:$H$501,MATCH(33,Input!$J$2:$J$501,0)),"")</f>
        <v/>
      </c>
    </row>
    <row r="35" spans="1:8" x14ac:dyDescent="0.35">
      <c r="A35" t="str">
        <f>IFERROR(INDEX(Input!$A$2:$A$501,MATCH(34,Input!$J$2:$J$501,0)),"")</f>
        <v/>
      </c>
      <c r="B35" t="str">
        <f>IFERROR(INDEX(Input!$B$2:$B$501,MATCH(34,Input!$J$2:$J$501,0)),"")</f>
        <v/>
      </c>
      <c r="C35" t="str">
        <f>IFERROR(INDEX(Input!$C$2:$C$501,MATCH(34,Input!$J$2:$J$501,0)),"")</f>
        <v/>
      </c>
      <c r="D35" t="str">
        <f>IFERROR(INDEX(Input!$D$2:$D$501,MATCH(34,Input!$J$2:$J$501,0)),"")</f>
        <v/>
      </c>
      <c r="E35" s="3" t="str">
        <f>IFERROR(INDEX(Input!$E$2:$E$501,MATCH(34,Input!$J$2:$J$501,0)),"")</f>
        <v/>
      </c>
      <c r="F35" t="str">
        <f>IFERROR(INDEX(Input!$F$2:$F$501,MATCH(34,Input!$J$2:$J$501,0)),"")</f>
        <v/>
      </c>
      <c r="G35" s="3" t="str">
        <f>IFERROR(INDEX(Input!$G$2:$G$501,MATCH(34,Input!$J$2:$J$501,0)),"")</f>
        <v/>
      </c>
      <c r="H35" t="str">
        <f>IFERROR(INDEX(Input!$H$2:$H$501,MATCH(34,Input!$J$2:$J$501,0)),"")</f>
        <v/>
      </c>
    </row>
    <row r="36" spans="1:8" x14ac:dyDescent="0.35">
      <c r="A36" t="str">
        <f>IFERROR(INDEX(Input!$A$2:$A$501,MATCH(35,Input!$J$2:$J$501,0)),"")</f>
        <v/>
      </c>
      <c r="B36" t="str">
        <f>IFERROR(INDEX(Input!$B$2:$B$501,MATCH(35,Input!$J$2:$J$501,0)),"")</f>
        <v/>
      </c>
      <c r="C36" t="str">
        <f>IFERROR(INDEX(Input!$C$2:$C$501,MATCH(35,Input!$J$2:$J$501,0)),"")</f>
        <v/>
      </c>
      <c r="D36" t="str">
        <f>IFERROR(INDEX(Input!$D$2:$D$501,MATCH(35,Input!$J$2:$J$501,0)),"")</f>
        <v/>
      </c>
      <c r="E36" s="3" t="str">
        <f>IFERROR(INDEX(Input!$E$2:$E$501,MATCH(35,Input!$J$2:$J$501,0)),"")</f>
        <v/>
      </c>
      <c r="F36" t="str">
        <f>IFERROR(INDEX(Input!$F$2:$F$501,MATCH(35,Input!$J$2:$J$501,0)),"")</f>
        <v/>
      </c>
      <c r="G36" s="3" t="str">
        <f>IFERROR(INDEX(Input!$G$2:$G$501,MATCH(35,Input!$J$2:$J$501,0)),"")</f>
        <v/>
      </c>
      <c r="H36" t="str">
        <f>IFERROR(INDEX(Input!$H$2:$H$501,MATCH(35,Input!$J$2:$J$501,0)),"")</f>
        <v/>
      </c>
    </row>
    <row r="37" spans="1:8" x14ac:dyDescent="0.35">
      <c r="A37" t="str">
        <f>IFERROR(INDEX(Input!$A$2:$A$501,MATCH(36,Input!$J$2:$J$501,0)),"")</f>
        <v/>
      </c>
      <c r="B37" t="str">
        <f>IFERROR(INDEX(Input!$B$2:$B$501,MATCH(36,Input!$J$2:$J$501,0)),"")</f>
        <v/>
      </c>
      <c r="C37" t="str">
        <f>IFERROR(INDEX(Input!$C$2:$C$501,MATCH(36,Input!$J$2:$J$501,0)),"")</f>
        <v/>
      </c>
      <c r="D37" t="str">
        <f>IFERROR(INDEX(Input!$D$2:$D$501,MATCH(36,Input!$J$2:$J$501,0)),"")</f>
        <v/>
      </c>
      <c r="E37" s="3" t="str">
        <f>IFERROR(INDEX(Input!$E$2:$E$501,MATCH(36,Input!$J$2:$J$501,0)),"")</f>
        <v/>
      </c>
      <c r="F37" t="str">
        <f>IFERROR(INDEX(Input!$F$2:$F$501,MATCH(36,Input!$J$2:$J$501,0)),"")</f>
        <v/>
      </c>
      <c r="G37" s="3" t="str">
        <f>IFERROR(INDEX(Input!$G$2:$G$501,MATCH(36,Input!$J$2:$J$501,0)),"")</f>
        <v/>
      </c>
      <c r="H37" t="str">
        <f>IFERROR(INDEX(Input!$H$2:$H$501,MATCH(36,Input!$J$2:$J$501,0)),"")</f>
        <v/>
      </c>
    </row>
    <row r="38" spans="1:8" x14ac:dyDescent="0.35">
      <c r="A38" t="str">
        <f>IFERROR(INDEX(Input!$A$2:$A$501,MATCH(37,Input!$J$2:$J$501,0)),"")</f>
        <v/>
      </c>
      <c r="B38" t="str">
        <f>IFERROR(INDEX(Input!$B$2:$B$501,MATCH(37,Input!$J$2:$J$501,0)),"")</f>
        <v/>
      </c>
      <c r="C38" t="str">
        <f>IFERROR(INDEX(Input!$C$2:$C$501,MATCH(37,Input!$J$2:$J$501,0)),"")</f>
        <v/>
      </c>
      <c r="D38" t="str">
        <f>IFERROR(INDEX(Input!$D$2:$D$501,MATCH(37,Input!$J$2:$J$501,0)),"")</f>
        <v/>
      </c>
      <c r="E38" s="3" t="str">
        <f>IFERROR(INDEX(Input!$E$2:$E$501,MATCH(37,Input!$J$2:$J$501,0)),"")</f>
        <v/>
      </c>
      <c r="F38" t="str">
        <f>IFERROR(INDEX(Input!$F$2:$F$501,MATCH(37,Input!$J$2:$J$501,0)),"")</f>
        <v/>
      </c>
      <c r="G38" s="3" t="str">
        <f>IFERROR(INDEX(Input!$G$2:$G$501,MATCH(37,Input!$J$2:$J$501,0)),"")</f>
        <v/>
      </c>
      <c r="H38" t="str">
        <f>IFERROR(INDEX(Input!$H$2:$H$501,MATCH(37,Input!$J$2:$J$501,0)),"")</f>
        <v/>
      </c>
    </row>
    <row r="39" spans="1:8" x14ac:dyDescent="0.35">
      <c r="A39" t="str">
        <f>IFERROR(INDEX(Input!$A$2:$A$501,MATCH(38,Input!$J$2:$J$501,0)),"")</f>
        <v/>
      </c>
      <c r="B39" t="str">
        <f>IFERROR(INDEX(Input!$B$2:$B$501,MATCH(38,Input!$J$2:$J$501,0)),"")</f>
        <v/>
      </c>
      <c r="C39" t="str">
        <f>IFERROR(INDEX(Input!$C$2:$C$501,MATCH(38,Input!$J$2:$J$501,0)),"")</f>
        <v/>
      </c>
      <c r="D39" t="str">
        <f>IFERROR(INDEX(Input!$D$2:$D$501,MATCH(38,Input!$J$2:$J$501,0)),"")</f>
        <v/>
      </c>
      <c r="E39" s="3" t="str">
        <f>IFERROR(INDEX(Input!$E$2:$E$501,MATCH(38,Input!$J$2:$J$501,0)),"")</f>
        <v/>
      </c>
      <c r="F39" t="str">
        <f>IFERROR(INDEX(Input!$F$2:$F$501,MATCH(38,Input!$J$2:$J$501,0)),"")</f>
        <v/>
      </c>
      <c r="G39" s="3" t="str">
        <f>IFERROR(INDEX(Input!$G$2:$G$501,MATCH(38,Input!$J$2:$J$501,0)),"")</f>
        <v/>
      </c>
      <c r="H39" t="str">
        <f>IFERROR(INDEX(Input!$H$2:$H$501,MATCH(38,Input!$J$2:$J$501,0)),"")</f>
        <v/>
      </c>
    </row>
    <row r="40" spans="1:8" x14ac:dyDescent="0.35">
      <c r="A40" t="str">
        <f>IFERROR(INDEX(Input!$A$2:$A$501,MATCH(39,Input!$J$2:$J$501,0)),"")</f>
        <v/>
      </c>
      <c r="B40" t="str">
        <f>IFERROR(INDEX(Input!$B$2:$B$501,MATCH(39,Input!$J$2:$J$501,0)),"")</f>
        <v/>
      </c>
      <c r="C40" t="str">
        <f>IFERROR(INDEX(Input!$C$2:$C$501,MATCH(39,Input!$J$2:$J$501,0)),"")</f>
        <v/>
      </c>
      <c r="D40" t="str">
        <f>IFERROR(INDEX(Input!$D$2:$D$501,MATCH(39,Input!$J$2:$J$501,0)),"")</f>
        <v/>
      </c>
      <c r="E40" s="3" t="str">
        <f>IFERROR(INDEX(Input!$E$2:$E$501,MATCH(39,Input!$J$2:$J$501,0)),"")</f>
        <v/>
      </c>
      <c r="F40" t="str">
        <f>IFERROR(INDEX(Input!$F$2:$F$501,MATCH(39,Input!$J$2:$J$501,0)),"")</f>
        <v/>
      </c>
      <c r="G40" s="3" t="str">
        <f>IFERROR(INDEX(Input!$G$2:$G$501,MATCH(39,Input!$J$2:$J$501,0)),"")</f>
        <v/>
      </c>
      <c r="H40" t="str">
        <f>IFERROR(INDEX(Input!$H$2:$H$501,MATCH(39,Input!$J$2:$J$501,0)),"")</f>
        <v/>
      </c>
    </row>
    <row r="41" spans="1:8" x14ac:dyDescent="0.35">
      <c r="A41" t="str">
        <f>IFERROR(INDEX(Input!$A$2:$A$501,MATCH(40,Input!$J$2:$J$501,0)),"")</f>
        <v/>
      </c>
      <c r="B41" t="str">
        <f>IFERROR(INDEX(Input!$B$2:$B$501,MATCH(40,Input!$J$2:$J$501,0)),"")</f>
        <v/>
      </c>
      <c r="C41" t="str">
        <f>IFERROR(INDEX(Input!$C$2:$C$501,MATCH(40,Input!$J$2:$J$501,0)),"")</f>
        <v/>
      </c>
      <c r="D41" t="str">
        <f>IFERROR(INDEX(Input!$D$2:$D$501,MATCH(40,Input!$J$2:$J$501,0)),"")</f>
        <v/>
      </c>
      <c r="E41" s="3" t="str">
        <f>IFERROR(INDEX(Input!$E$2:$E$501,MATCH(40,Input!$J$2:$J$501,0)),"")</f>
        <v/>
      </c>
      <c r="F41" t="str">
        <f>IFERROR(INDEX(Input!$F$2:$F$501,MATCH(40,Input!$J$2:$J$501,0)),"")</f>
        <v/>
      </c>
      <c r="G41" s="3" t="str">
        <f>IFERROR(INDEX(Input!$G$2:$G$501,MATCH(40,Input!$J$2:$J$501,0)),"")</f>
        <v/>
      </c>
      <c r="H41" t="str">
        <f>IFERROR(INDEX(Input!$H$2:$H$501,MATCH(40,Input!$J$2:$J$501,0)),"")</f>
        <v/>
      </c>
    </row>
    <row r="42" spans="1:8" x14ac:dyDescent="0.35">
      <c r="A42" t="str">
        <f>IFERROR(INDEX(Input!$A$2:$A$501,MATCH(41,Input!$J$2:$J$501,0)),"")</f>
        <v/>
      </c>
      <c r="B42" t="str">
        <f>IFERROR(INDEX(Input!$B$2:$B$501,MATCH(41,Input!$J$2:$J$501,0)),"")</f>
        <v/>
      </c>
      <c r="C42" t="str">
        <f>IFERROR(INDEX(Input!$C$2:$C$501,MATCH(41,Input!$J$2:$J$501,0)),"")</f>
        <v/>
      </c>
      <c r="D42" t="str">
        <f>IFERROR(INDEX(Input!$D$2:$D$501,MATCH(41,Input!$J$2:$J$501,0)),"")</f>
        <v/>
      </c>
      <c r="E42" s="3" t="str">
        <f>IFERROR(INDEX(Input!$E$2:$E$501,MATCH(41,Input!$J$2:$J$501,0)),"")</f>
        <v/>
      </c>
      <c r="F42" t="str">
        <f>IFERROR(INDEX(Input!$F$2:$F$501,MATCH(41,Input!$J$2:$J$501,0)),"")</f>
        <v/>
      </c>
      <c r="G42" s="3" t="str">
        <f>IFERROR(INDEX(Input!$G$2:$G$501,MATCH(41,Input!$J$2:$J$501,0)),"")</f>
        <v/>
      </c>
      <c r="H42" t="str">
        <f>IFERROR(INDEX(Input!$H$2:$H$501,MATCH(41,Input!$J$2:$J$501,0)),"")</f>
        <v/>
      </c>
    </row>
    <row r="43" spans="1:8" x14ac:dyDescent="0.35">
      <c r="A43" t="str">
        <f>IFERROR(INDEX(Input!$A$2:$A$501,MATCH(42,Input!$J$2:$J$501,0)),"")</f>
        <v/>
      </c>
      <c r="B43" t="str">
        <f>IFERROR(INDEX(Input!$B$2:$B$501,MATCH(42,Input!$J$2:$J$501,0)),"")</f>
        <v/>
      </c>
      <c r="C43" t="str">
        <f>IFERROR(INDEX(Input!$C$2:$C$501,MATCH(42,Input!$J$2:$J$501,0)),"")</f>
        <v/>
      </c>
      <c r="D43" t="str">
        <f>IFERROR(INDEX(Input!$D$2:$D$501,MATCH(42,Input!$J$2:$J$501,0)),"")</f>
        <v/>
      </c>
      <c r="E43" s="3" t="str">
        <f>IFERROR(INDEX(Input!$E$2:$E$501,MATCH(42,Input!$J$2:$J$501,0)),"")</f>
        <v/>
      </c>
      <c r="F43" t="str">
        <f>IFERROR(INDEX(Input!$F$2:$F$501,MATCH(42,Input!$J$2:$J$501,0)),"")</f>
        <v/>
      </c>
      <c r="G43" s="3" t="str">
        <f>IFERROR(INDEX(Input!$G$2:$G$501,MATCH(42,Input!$J$2:$J$501,0)),"")</f>
        <v/>
      </c>
      <c r="H43" t="str">
        <f>IFERROR(INDEX(Input!$H$2:$H$501,MATCH(42,Input!$J$2:$J$501,0)),"")</f>
        <v/>
      </c>
    </row>
    <row r="44" spans="1:8" x14ac:dyDescent="0.35">
      <c r="A44" t="str">
        <f>IFERROR(INDEX(Input!$A$2:$A$501,MATCH(43,Input!$J$2:$J$501,0)),"")</f>
        <v/>
      </c>
      <c r="B44" t="str">
        <f>IFERROR(INDEX(Input!$B$2:$B$501,MATCH(43,Input!$J$2:$J$501,0)),"")</f>
        <v/>
      </c>
      <c r="C44" t="str">
        <f>IFERROR(INDEX(Input!$C$2:$C$501,MATCH(43,Input!$J$2:$J$501,0)),"")</f>
        <v/>
      </c>
      <c r="D44" t="str">
        <f>IFERROR(INDEX(Input!$D$2:$D$501,MATCH(43,Input!$J$2:$J$501,0)),"")</f>
        <v/>
      </c>
      <c r="E44" s="3" t="str">
        <f>IFERROR(INDEX(Input!$E$2:$E$501,MATCH(43,Input!$J$2:$J$501,0)),"")</f>
        <v/>
      </c>
      <c r="F44" t="str">
        <f>IFERROR(INDEX(Input!$F$2:$F$501,MATCH(43,Input!$J$2:$J$501,0)),"")</f>
        <v/>
      </c>
      <c r="G44" s="3" t="str">
        <f>IFERROR(INDEX(Input!$G$2:$G$501,MATCH(43,Input!$J$2:$J$501,0)),"")</f>
        <v/>
      </c>
      <c r="H44" t="str">
        <f>IFERROR(INDEX(Input!$H$2:$H$501,MATCH(43,Input!$J$2:$J$501,0)),"")</f>
        <v/>
      </c>
    </row>
    <row r="45" spans="1:8" x14ac:dyDescent="0.35">
      <c r="A45" t="str">
        <f>IFERROR(INDEX(Input!$A$2:$A$501,MATCH(44,Input!$J$2:$J$501,0)),"")</f>
        <v/>
      </c>
      <c r="B45" t="str">
        <f>IFERROR(INDEX(Input!$B$2:$B$501,MATCH(44,Input!$J$2:$J$501,0)),"")</f>
        <v/>
      </c>
      <c r="C45" t="str">
        <f>IFERROR(INDEX(Input!$C$2:$C$501,MATCH(44,Input!$J$2:$J$501,0)),"")</f>
        <v/>
      </c>
      <c r="D45" t="str">
        <f>IFERROR(INDEX(Input!$D$2:$D$501,MATCH(44,Input!$J$2:$J$501,0)),"")</f>
        <v/>
      </c>
      <c r="E45" s="3" t="str">
        <f>IFERROR(INDEX(Input!$E$2:$E$501,MATCH(44,Input!$J$2:$J$501,0)),"")</f>
        <v/>
      </c>
      <c r="F45" t="str">
        <f>IFERROR(INDEX(Input!$F$2:$F$501,MATCH(44,Input!$J$2:$J$501,0)),"")</f>
        <v/>
      </c>
      <c r="G45" s="3" t="str">
        <f>IFERROR(INDEX(Input!$G$2:$G$501,MATCH(44,Input!$J$2:$J$501,0)),"")</f>
        <v/>
      </c>
      <c r="H45" t="str">
        <f>IFERROR(INDEX(Input!$H$2:$H$501,MATCH(44,Input!$J$2:$J$501,0)),"")</f>
        <v/>
      </c>
    </row>
    <row r="46" spans="1:8" x14ac:dyDescent="0.35">
      <c r="A46" t="str">
        <f>IFERROR(INDEX(Input!$A$2:$A$501,MATCH(45,Input!$J$2:$J$501,0)),"")</f>
        <v/>
      </c>
      <c r="B46" t="str">
        <f>IFERROR(INDEX(Input!$B$2:$B$501,MATCH(45,Input!$J$2:$J$501,0)),"")</f>
        <v/>
      </c>
      <c r="C46" t="str">
        <f>IFERROR(INDEX(Input!$C$2:$C$501,MATCH(45,Input!$J$2:$J$501,0)),"")</f>
        <v/>
      </c>
      <c r="D46" t="str">
        <f>IFERROR(INDEX(Input!$D$2:$D$501,MATCH(45,Input!$J$2:$J$501,0)),"")</f>
        <v/>
      </c>
      <c r="E46" s="3" t="str">
        <f>IFERROR(INDEX(Input!$E$2:$E$501,MATCH(45,Input!$J$2:$J$501,0)),"")</f>
        <v/>
      </c>
      <c r="F46" t="str">
        <f>IFERROR(INDEX(Input!$F$2:$F$501,MATCH(45,Input!$J$2:$J$501,0)),"")</f>
        <v/>
      </c>
      <c r="G46" s="3" t="str">
        <f>IFERROR(INDEX(Input!$G$2:$G$501,MATCH(45,Input!$J$2:$J$501,0)),"")</f>
        <v/>
      </c>
      <c r="H46" t="str">
        <f>IFERROR(INDEX(Input!$H$2:$H$501,MATCH(45,Input!$J$2:$J$501,0)),"")</f>
        <v/>
      </c>
    </row>
    <row r="47" spans="1:8" x14ac:dyDescent="0.35">
      <c r="A47" t="str">
        <f>IFERROR(INDEX(Input!$A$2:$A$501,MATCH(46,Input!$J$2:$J$501,0)),"")</f>
        <v/>
      </c>
      <c r="B47" t="str">
        <f>IFERROR(INDEX(Input!$B$2:$B$501,MATCH(46,Input!$J$2:$J$501,0)),"")</f>
        <v/>
      </c>
      <c r="C47" t="str">
        <f>IFERROR(INDEX(Input!$C$2:$C$501,MATCH(46,Input!$J$2:$J$501,0)),"")</f>
        <v/>
      </c>
      <c r="D47" t="str">
        <f>IFERROR(INDEX(Input!$D$2:$D$501,MATCH(46,Input!$J$2:$J$501,0)),"")</f>
        <v/>
      </c>
      <c r="E47" s="3" t="str">
        <f>IFERROR(INDEX(Input!$E$2:$E$501,MATCH(46,Input!$J$2:$J$501,0)),"")</f>
        <v/>
      </c>
      <c r="F47" t="str">
        <f>IFERROR(INDEX(Input!$F$2:$F$501,MATCH(46,Input!$J$2:$J$501,0)),"")</f>
        <v/>
      </c>
      <c r="G47" s="3" t="str">
        <f>IFERROR(INDEX(Input!$G$2:$G$501,MATCH(46,Input!$J$2:$J$501,0)),"")</f>
        <v/>
      </c>
      <c r="H47" t="str">
        <f>IFERROR(INDEX(Input!$H$2:$H$501,MATCH(46,Input!$J$2:$J$501,0)),"")</f>
        <v/>
      </c>
    </row>
    <row r="48" spans="1:8" x14ac:dyDescent="0.35">
      <c r="A48" t="str">
        <f>IFERROR(INDEX(Input!$A$2:$A$501,MATCH(47,Input!$J$2:$J$501,0)),"")</f>
        <v/>
      </c>
      <c r="B48" t="str">
        <f>IFERROR(INDEX(Input!$B$2:$B$501,MATCH(47,Input!$J$2:$J$501,0)),"")</f>
        <v/>
      </c>
      <c r="C48" t="str">
        <f>IFERROR(INDEX(Input!$C$2:$C$501,MATCH(47,Input!$J$2:$J$501,0)),"")</f>
        <v/>
      </c>
      <c r="D48" t="str">
        <f>IFERROR(INDEX(Input!$D$2:$D$501,MATCH(47,Input!$J$2:$J$501,0)),"")</f>
        <v/>
      </c>
      <c r="E48" s="3" t="str">
        <f>IFERROR(INDEX(Input!$E$2:$E$501,MATCH(47,Input!$J$2:$J$501,0)),"")</f>
        <v/>
      </c>
      <c r="F48" t="str">
        <f>IFERROR(INDEX(Input!$F$2:$F$501,MATCH(47,Input!$J$2:$J$501,0)),"")</f>
        <v/>
      </c>
      <c r="G48" s="3" t="str">
        <f>IFERROR(INDEX(Input!$G$2:$G$501,MATCH(47,Input!$J$2:$J$501,0)),"")</f>
        <v/>
      </c>
      <c r="H48" t="str">
        <f>IFERROR(INDEX(Input!$H$2:$H$501,MATCH(47,Input!$J$2:$J$501,0)),"")</f>
        <v/>
      </c>
    </row>
    <row r="49" spans="1:8" x14ac:dyDescent="0.35">
      <c r="A49" t="str">
        <f>IFERROR(INDEX(Input!$A$2:$A$501,MATCH(48,Input!$J$2:$J$501,0)),"")</f>
        <v/>
      </c>
      <c r="B49" t="str">
        <f>IFERROR(INDEX(Input!$B$2:$B$501,MATCH(48,Input!$J$2:$J$501,0)),"")</f>
        <v/>
      </c>
      <c r="C49" t="str">
        <f>IFERROR(INDEX(Input!$C$2:$C$501,MATCH(48,Input!$J$2:$J$501,0)),"")</f>
        <v/>
      </c>
      <c r="D49" t="str">
        <f>IFERROR(INDEX(Input!$D$2:$D$501,MATCH(48,Input!$J$2:$J$501,0)),"")</f>
        <v/>
      </c>
      <c r="E49" s="3" t="str">
        <f>IFERROR(INDEX(Input!$E$2:$E$501,MATCH(48,Input!$J$2:$J$501,0)),"")</f>
        <v/>
      </c>
      <c r="F49" t="str">
        <f>IFERROR(INDEX(Input!$F$2:$F$501,MATCH(48,Input!$J$2:$J$501,0)),"")</f>
        <v/>
      </c>
      <c r="G49" s="3" t="str">
        <f>IFERROR(INDEX(Input!$G$2:$G$501,MATCH(48,Input!$J$2:$J$501,0)),"")</f>
        <v/>
      </c>
      <c r="H49" t="str">
        <f>IFERROR(INDEX(Input!$H$2:$H$501,MATCH(48,Input!$J$2:$J$501,0)),"")</f>
        <v/>
      </c>
    </row>
    <row r="50" spans="1:8" x14ac:dyDescent="0.35">
      <c r="A50" t="str">
        <f>IFERROR(INDEX(Input!$A$2:$A$501,MATCH(49,Input!$J$2:$J$501,0)),"")</f>
        <v/>
      </c>
      <c r="B50" t="str">
        <f>IFERROR(INDEX(Input!$B$2:$B$501,MATCH(49,Input!$J$2:$J$501,0)),"")</f>
        <v/>
      </c>
      <c r="C50" t="str">
        <f>IFERROR(INDEX(Input!$C$2:$C$501,MATCH(49,Input!$J$2:$J$501,0)),"")</f>
        <v/>
      </c>
      <c r="D50" t="str">
        <f>IFERROR(INDEX(Input!$D$2:$D$501,MATCH(49,Input!$J$2:$J$501,0)),"")</f>
        <v/>
      </c>
      <c r="E50" s="3" t="str">
        <f>IFERROR(INDEX(Input!$E$2:$E$501,MATCH(49,Input!$J$2:$J$501,0)),"")</f>
        <v/>
      </c>
      <c r="F50" t="str">
        <f>IFERROR(INDEX(Input!$F$2:$F$501,MATCH(49,Input!$J$2:$J$501,0)),"")</f>
        <v/>
      </c>
      <c r="G50" s="3" t="str">
        <f>IFERROR(INDEX(Input!$G$2:$G$501,MATCH(49,Input!$J$2:$J$501,0)),"")</f>
        <v/>
      </c>
      <c r="H50" t="str">
        <f>IFERROR(INDEX(Input!$H$2:$H$501,MATCH(49,Input!$J$2:$J$501,0)),"")</f>
        <v/>
      </c>
    </row>
    <row r="51" spans="1:8" x14ac:dyDescent="0.35">
      <c r="A51" t="str">
        <f>IFERROR(INDEX(Input!$A$2:$A$501,MATCH(50,Input!$J$2:$J$501,0)),"")</f>
        <v/>
      </c>
      <c r="B51" t="str">
        <f>IFERROR(INDEX(Input!$B$2:$B$501,MATCH(50,Input!$J$2:$J$501,0)),"")</f>
        <v/>
      </c>
      <c r="C51" t="str">
        <f>IFERROR(INDEX(Input!$C$2:$C$501,MATCH(50,Input!$J$2:$J$501,0)),"")</f>
        <v/>
      </c>
      <c r="D51" t="str">
        <f>IFERROR(INDEX(Input!$D$2:$D$501,MATCH(50,Input!$J$2:$J$501,0)),"")</f>
        <v/>
      </c>
      <c r="E51" s="3" t="str">
        <f>IFERROR(INDEX(Input!$E$2:$E$501,MATCH(50,Input!$J$2:$J$501,0)),"")</f>
        <v/>
      </c>
      <c r="F51" t="str">
        <f>IFERROR(INDEX(Input!$F$2:$F$501,MATCH(50,Input!$J$2:$J$501,0)),"")</f>
        <v/>
      </c>
      <c r="G51" s="3" t="str">
        <f>IFERROR(INDEX(Input!$G$2:$G$501,MATCH(50,Input!$J$2:$J$501,0)),"")</f>
        <v/>
      </c>
      <c r="H51" t="str">
        <f>IFERROR(INDEX(Input!$H$2:$H$501,MATCH(50,Input!$J$2:$J$501,0)),"")</f>
        <v/>
      </c>
    </row>
    <row r="52" spans="1:8" x14ac:dyDescent="0.35">
      <c r="A52" t="str">
        <f>IFERROR(INDEX(Input!$A$2:$A$501,MATCH(51,Input!$J$2:$J$501,0)),"")</f>
        <v/>
      </c>
      <c r="B52" t="str">
        <f>IFERROR(INDEX(Input!$B$2:$B$501,MATCH(51,Input!$J$2:$J$501,0)),"")</f>
        <v/>
      </c>
      <c r="C52" t="str">
        <f>IFERROR(INDEX(Input!$C$2:$C$501,MATCH(51,Input!$J$2:$J$501,0)),"")</f>
        <v/>
      </c>
      <c r="D52" t="str">
        <f>IFERROR(INDEX(Input!$D$2:$D$501,MATCH(51,Input!$J$2:$J$501,0)),"")</f>
        <v/>
      </c>
      <c r="E52" s="3" t="str">
        <f>IFERROR(INDEX(Input!$E$2:$E$501,MATCH(51,Input!$J$2:$J$501,0)),"")</f>
        <v/>
      </c>
      <c r="F52" t="str">
        <f>IFERROR(INDEX(Input!$F$2:$F$501,MATCH(51,Input!$J$2:$J$501,0)),"")</f>
        <v/>
      </c>
      <c r="G52" s="3" t="str">
        <f>IFERROR(INDEX(Input!$G$2:$G$501,MATCH(51,Input!$J$2:$J$501,0)),"")</f>
        <v/>
      </c>
      <c r="H52" t="str">
        <f>IFERROR(INDEX(Input!$H$2:$H$501,MATCH(51,Input!$J$2:$J$501,0)),"")</f>
        <v/>
      </c>
    </row>
    <row r="53" spans="1:8" x14ac:dyDescent="0.35">
      <c r="A53" t="str">
        <f>IFERROR(INDEX(Input!$A$2:$A$501,MATCH(52,Input!$J$2:$J$501,0)),"")</f>
        <v/>
      </c>
      <c r="B53" t="str">
        <f>IFERROR(INDEX(Input!$B$2:$B$501,MATCH(52,Input!$J$2:$J$501,0)),"")</f>
        <v/>
      </c>
      <c r="C53" t="str">
        <f>IFERROR(INDEX(Input!$C$2:$C$501,MATCH(52,Input!$J$2:$J$501,0)),"")</f>
        <v/>
      </c>
      <c r="D53" t="str">
        <f>IFERROR(INDEX(Input!$D$2:$D$501,MATCH(52,Input!$J$2:$J$501,0)),"")</f>
        <v/>
      </c>
      <c r="E53" s="3" t="str">
        <f>IFERROR(INDEX(Input!$E$2:$E$501,MATCH(52,Input!$J$2:$J$501,0)),"")</f>
        <v/>
      </c>
      <c r="F53" t="str">
        <f>IFERROR(INDEX(Input!$F$2:$F$501,MATCH(52,Input!$J$2:$J$501,0)),"")</f>
        <v/>
      </c>
      <c r="G53" s="3" t="str">
        <f>IFERROR(INDEX(Input!$G$2:$G$501,MATCH(52,Input!$J$2:$J$501,0)),"")</f>
        <v/>
      </c>
      <c r="H53" t="str">
        <f>IFERROR(INDEX(Input!$H$2:$H$501,MATCH(52,Input!$J$2:$J$501,0)),"")</f>
        <v/>
      </c>
    </row>
    <row r="54" spans="1:8" x14ac:dyDescent="0.35">
      <c r="A54" t="str">
        <f>IFERROR(INDEX(Input!$A$2:$A$501,MATCH(53,Input!$J$2:$J$501,0)),"")</f>
        <v/>
      </c>
      <c r="B54" t="str">
        <f>IFERROR(INDEX(Input!$B$2:$B$501,MATCH(53,Input!$J$2:$J$501,0)),"")</f>
        <v/>
      </c>
      <c r="C54" t="str">
        <f>IFERROR(INDEX(Input!$C$2:$C$501,MATCH(53,Input!$J$2:$J$501,0)),"")</f>
        <v/>
      </c>
      <c r="D54" t="str">
        <f>IFERROR(INDEX(Input!$D$2:$D$501,MATCH(53,Input!$J$2:$J$501,0)),"")</f>
        <v/>
      </c>
      <c r="E54" s="3" t="str">
        <f>IFERROR(INDEX(Input!$E$2:$E$501,MATCH(53,Input!$J$2:$J$501,0)),"")</f>
        <v/>
      </c>
      <c r="F54" t="str">
        <f>IFERROR(INDEX(Input!$F$2:$F$501,MATCH(53,Input!$J$2:$J$501,0)),"")</f>
        <v/>
      </c>
      <c r="G54" s="3" t="str">
        <f>IFERROR(INDEX(Input!$G$2:$G$501,MATCH(53,Input!$J$2:$J$501,0)),"")</f>
        <v/>
      </c>
      <c r="H54" t="str">
        <f>IFERROR(INDEX(Input!$H$2:$H$501,MATCH(53,Input!$J$2:$J$501,0)),"")</f>
        <v/>
      </c>
    </row>
    <row r="55" spans="1:8" x14ac:dyDescent="0.35">
      <c r="A55" t="str">
        <f>IFERROR(INDEX(Input!$A$2:$A$501,MATCH(54,Input!$J$2:$J$501,0)),"")</f>
        <v/>
      </c>
      <c r="B55" t="str">
        <f>IFERROR(INDEX(Input!$B$2:$B$501,MATCH(54,Input!$J$2:$J$501,0)),"")</f>
        <v/>
      </c>
      <c r="C55" t="str">
        <f>IFERROR(INDEX(Input!$C$2:$C$501,MATCH(54,Input!$J$2:$J$501,0)),"")</f>
        <v/>
      </c>
      <c r="D55" t="str">
        <f>IFERROR(INDEX(Input!$D$2:$D$501,MATCH(54,Input!$J$2:$J$501,0)),"")</f>
        <v/>
      </c>
      <c r="E55" s="3" t="str">
        <f>IFERROR(INDEX(Input!$E$2:$E$501,MATCH(54,Input!$J$2:$J$501,0)),"")</f>
        <v/>
      </c>
      <c r="F55" t="str">
        <f>IFERROR(INDEX(Input!$F$2:$F$501,MATCH(54,Input!$J$2:$J$501,0)),"")</f>
        <v/>
      </c>
      <c r="G55" s="3" t="str">
        <f>IFERROR(INDEX(Input!$G$2:$G$501,MATCH(54,Input!$J$2:$J$501,0)),"")</f>
        <v/>
      </c>
      <c r="H55" t="str">
        <f>IFERROR(INDEX(Input!$H$2:$H$501,MATCH(54,Input!$J$2:$J$501,0)),"")</f>
        <v/>
      </c>
    </row>
    <row r="56" spans="1:8" x14ac:dyDescent="0.35">
      <c r="A56" t="str">
        <f>IFERROR(INDEX(Input!$A$2:$A$501,MATCH(55,Input!$J$2:$J$501,0)),"")</f>
        <v/>
      </c>
      <c r="B56" t="str">
        <f>IFERROR(INDEX(Input!$B$2:$B$501,MATCH(55,Input!$J$2:$J$501,0)),"")</f>
        <v/>
      </c>
      <c r="C56" t="str">
        <f>IFERROR(INDEX(Input!$C$2:$C$501,MATCH(55,Input!$J$2:$J$501,0)),"")</f>
        <v/>
      </c>
      <c r="D56" t="str">
        <f>IFERROR(INDEX(Input!$D$2:$D$501,MATCH(55,Input!$J$2:$J$501,0)),"")</f>
        <v/>
      </c>
      <c r="E56" s="3" t="str">
        <f>IFERROR(INDEX(Input!$E$2:$E$501,MATCH(55,Input!$J$2:$J$501,0)),"")</f>
        <v/>
      </c>
      <c r="F56" t="str">
        <f>IFERROR(INDEX(Input!$F$2:$F$501,MATCH(55,Input!$J$2:$J$501,0)),"")</f>
        <v/>
      </c>
      <c r="G56" s="3" t="str">
        <f>IFERROR(INDEX(Input!$G$2:$G$501,MATCH(55,Input!$J$2:$J$501,0)),"")</f>
        <v/>
      </c>
      <c r="H56" t="str">
        <f>IFERROR(INDEX(Input!$H$2:$H$501,MATCH(55,Input!$J$2:$J$501,0)),"")</f>
        <v/>
      </c>
    </row>
    <row r="57" spans="1:8" x14ac:dyDescent="0.35">
      <c r="A57" t="str">
        <f>IFERROR(INDEX(Input!$A$2:$A$501,MATCH(56,Input!$J$2:$J$501,0)),"")</f>
        <v/>
      </c>
      <c r="B57" t="str">
        <f>IFERROR(INDEX(Input!$B$2:$B$501,MATCH(56,Input!$J$2:$J$501,0)),"")</f>
        <v/>
      </c>
      <c r="C57" t="str">
        <f>IFERROR(INDEX(Input!$C$2:$C$501,MATCH(56,Input!$J$2:$J$501,0)),"")</f>
        <v/>
      </c>
      <c r="D57" t="str">
        <f>IFERROR(INDEX(Input!$D$2:$D$501,MATCH(56,Input!$J$2:$J$501,0)),"")</f>
        <v/>
      </c>
      <c r="E57" s="3" t="str">
        <f>IFERROR(INDEX(Input!$E$2:$E$501,MATCH(56,Input!$J$2:$J$501,0)),"")</f>
        <v/>
      </c>
      <c r="F57" t="str">
        <f>IFERROR(INDEX(Input!$F$2:$F$501,MATCH(56,Input!$J$2:$J$501,0)),"")</f>
        <v/>
      </c>
      <c r="G57" s="3" t="str">
        <f>IFERROR(INDEX(Input!$G$2:$G$501,MATCH(56,Input!$J$2:$J$501,0)),"")</f>
        <v/>
      </c>
      <c r="H57" t="str">
        <f>IFERROR(INDEX(Input!$H$2:$H$501,MATCH(56,Input!$J$2:$J$501,0)),"")</f>
        <v/>
      </c>
    </row>
    <row r="58" spans="1:8" x14ac:dyDescent="0.35">
      <c r="A58" t="str">
        <f>IFERROR(INDEX(Input!$A$2:$A$501,MATCH(57,Input!$J$2:$J$501,0)),"")</f>
        <v/>
      </c>
      <c r="B58" t="str">
        <f>IFERROR(INDEX(Input!$B$2:$B$501,MATCH(57,Input!$J$2:$J$501,0)),"")</f>
        <v/>
      </c>
      <c r="C58" t="str">
        <f>IFERROR(INDEX(Input!$C$2:$C$501,MATCH(57,Input!$J$2:$J$501,0)),"")</f>
        <v/>
      </c>
      <c r="D58" t="str">
        <f>IFERROR(INDEX(Input!$D$2:$D$501,MATCH(57,Input!$J$2:$J$501,0)),"")</f>
        <v/>
      </c>
      <c r="E58" s="3" t="str">
        <f>IFERROR(INDEX(Input!$E$2:$E$501,MATCH(57,Input!$J$2:$J$501,0)),"")</f>
        <v/>
      </c>
      <c r="F58" t="str">
        <f>IFERROR(INDEX(Input!$F$2:$F$501,MATCH(57,Input!$J$2:$J$501,0)),"")</f>
        <v/>
      </c>
      <c r="G58" s="3" t="str">
        <f>IFERROR(INDEX(Input!$G$2:$G$501,MATCH(57,Input!$J$2:$J$501,0)),"")</f>
        <v/>
      </c>
      <c r="H58" t="str">
        <f>IFERROR(INDEX(Input!$H$2:$H$501,MATCH(57,Input!$J$2:$J$501,0)),"")</f>
        <v/>
      </c>
    </row>
    <row r="59" spans="1:8" x14ac:dyDescent="0.35">
      <c r="A59" t="str">
        <f>IFERROR(INDEX(Input!$A$2:$A$501,MATCH(58,Input!$J$2:$J$501,0)),"")</f>
        <v/>
      </c>
      <c r="B59" t="str">
        <f>IFERROR(INDEX(Input!$B$2:$B$501,MATCH(58,Input!$J$2:$J$501,0)),"")</f>
        <v/>
      </c>
      <c r="C59" t="str">
        <f>IFERROR(INDEX(Input!$C$2:$C$501,MATCH(58,Input!$J$2:$J$501,0)),"")</f>
        <v/>
      </c>
      <c r="D59" t="str">
        <f>IFERROR(INDEX(Input!$D$2:$D$501,MATCH(58,Input!$J$2:$J$501,0)),"")</f>
        <v/>
      </c>
      <c r="E59" s="3" t="str">
        <f>IFERROR(INDEX(Input!$E$2:$E$501,MATCH(58,Input!$J$2:$J$501,0)),"")</f>
        <v/>
      </c>
      <c r="F59" t="str">
        <f>IFERROR(INDEX(Input!$F$2:$F$501,MATCH(58,Input!$J$2:$J$501,0)),"")</f>
        <v/>
      </c>
      <c r="G59" s="3" t="str">
        <f>IFERROR(INDEX(Input!$G$2:$G$501,MATCH(58,Input!$J$2:$J$501,0)),"")</f>
        <v/>
      </c>
      <c r="H59" t="str">
        <f>IFERROR(INDEX(Input!$H$2:$H$501,MATCH(58,Input!$J$2:$J$501,0)),"")</f>
        <v/>
      </c>
    </row>
    <row r="60" spans="1:8" x14ac:dyDescent="0.35">
      <c r="A60" t="str">
        <f>IFERROR(INDEX(Input!$A$2:$A$501,MATCH(59,Input!$J$2:$J$501,0)),"")</f>
        <v/>
      </c>
      <c r="B60" t="str">
        <f>IFERROR(INDEX(Input!$B$2:$B$501,MATCH(59,Input!$J$2:$J$501,0)),"")</f>
        <v/>
      </c>
      <c r="C60" t="str">
        <f>IFERROR(INDEX(Input!$C$2:$C$501,MATCH(59,Input!$J$2:$J$501,0)),"")</f>
        <v/>
      </c>
      <c r="D60" t="str">
        <f>IFERROR(INDEX(Input!$D$2:$D$501,MATCH(59,Input!$J$2:$J$501,0)),"")</f>
        <v/>
      </c>
      <c r="E60" s="3" t="str">
        <f>IFERROR(INDEX(Input!$E$2:$E$501,MATCH(59,Input!$J$2:$J$501,0)),"")</f>
        <v/>
      </c>
      <c r="F60" t="str">
        <f>IFERROR(INDEX(Input!$F$2:$F$501,MATCH(59,Input!$J$2:$J$501,0)),"")</f>
        <v/>
      </c>
      <c r="G60" s="3" t="str">
        <f>IFERROR(INDEX(Input!$G$2:$G$501,MATCH(59,Input!$J$2:$J$501,0)),"")</f>
        <v/>
      </c>
      <c r="H60" t="str">
        <f>IFERROR(INDEX(Input!$H$2:$H$501,MATCH(59,Input!$J$2:$J$501,0)),"")</f>
        <v/>
      </c>
    </row>
    <row r="61" spans="1:8" x14ac:dyDescent="0.35">
      <c r="A61" t="str">
        <f>IFERROR(INDEX(Input!$A$2:$A$501,MATCH(60,Input!$J$2:$J$501,0)),"")</f>
        <v/>
      </c>
      <c r="B61" t="str">
        <f>IFERROR(INDEX(Input!$B$2:$B$501,MATCH(60,Input!$J$2:$J$501,0)),"")</f>
        <v/>
      </c>
      <c r="C61" t="str">
        <f>IFERROR(INDEX(Input!$C$2:$C$501,MATCH(60,Input!$J$2:$J$501,0)),"")</f>
        <v/>
      </c>
      <c r="D61" t="str">
        <f>IFERROR(INDEX(Input!$D$2:$D$501,MATCH(60,Input!$J$2:$J$501,0)),"")</f>
        <v/>
      </c>
      <c r="E61" s="3" t="str">
        <f>IFERROR(INDEX(Input!$E$2:$E$501,MATCH(60,Input!$J$2:$J$501,0)),"")</f>
        <v/>
      </c>
      <c r="F61" t="str">
        <f>IFERROR(INDEX(Input!$F$2:$F$501,MATCH(60,Input!$J$2:$J$501,0)),"")</f>
        <v/>
      </c>
      <c r="G61" s="3" t="str">
        <f>IFERROR(INDEX(Input!$G$2:$G$501,MATCH(60,Input!$J$2:$J$501,0)),"")</f>
        <v/>
      </c>
      <c r="H61" t="str">
        <f>IFERROR(INDEX(Input!$H$2:$H$501,MATCH(60,Input!$J$2:$J$501,0)),"")</f>
        <v/>
      </c>
    </row>
    <row r="62" spans="1:8" x14ac:dyDescent="0.35">
      <c r="A62" t="str">
        <f>IFERROR(INDEX(Input!$A$2:$A$501,MATCH(61,Input!$J$2:$J$501,0)),"")</f>
        <v/>
      </c>
      <c r="B62" t="str">
        <f>IFERROR(INDEX(Input!$B$2:$B$501,MATCH(61,Input!$J$2:$J$501,0)),"")</f>
        <v/>
      </c>
      <c r="C62" t="str">
        <f>IFERROR(INDEX(Input!$C$2:$C$501,MATCH(61,Input!$J$2:$J$501,0)),"")</f>
        <v/>
      </c>
      <c r="D62" t="str">
        <f>IFERROR(INDEX(Input!$D$2:$D$501,MATCH(61,Input!$J$2:$J$501,0)),"")</f>
        <v/>
      </c>
      <c r="E62" s="3" t="str">
        <f>IFERROR(INDEX(Input!$E$2:$E$501,MATCH(61,Input!$J$2:$J$501,0)),"")</f>
        <v/>
      </c>
      <c r="F62" t="str">
        <f>IFERROR(INDEX(Input!$F$2:$F$501,MATCH(61,Input!$J$2:$J$501,0)),"")</f>
        <v/>
      </c>
      <c r="G62" s="3" t="str">
        <f>IFERROR(INDEX(Input!$G$2:$G$501,MATCH(61,Input!$J$2:$J$501,0)),"")</f>
        <v/>
      </c>
      <c r="H62" t="str">
        <f>IFERROR(INDEX(Input!$H$2:$H$501,MATCH(61,Input!$J$2:$J$501,0)),"")</f>
        <v/>
      </c>
    </row>
    <row r="63" spans="1:8" x14ac:dyDescent="0.35">
      <c r="A63" t="str">
        <f>IFERROR(INDEX(Input!$A$2:$A$501,MATCH(62,Input!$J$2:$J$501,0)),"")</f>
        <v/>
      </c>
      <c r="B63" t="str">
        <f>IFERROR(INDEX(Input!$B$2:$B$501,MATCH(62,Input!$J$2:$J$501,0)),"")</f>
        <v/>
      </c>
      <c r="C63" t="str">
        <f>IFERROR(INDEX(Input!$C$2:$C$501,MATCH(62,Input!$J$2:$J$501,0)),"")</f>
        <v/>
      </c>
      <c r="D63" t="str">
        <f>IFERROR(INDEX(Input!$D$2:$D$501,MATCH(62,Input!$J$2:$J$501,0)),"")</f>
        <v/>
      </c>
      <c r="E63" s="3" t="str">
        <f>IFERROR(INDEX(Input!$E$2:$E$501,MATCH(62,Input!$J$2:$J$501,0)),"")</f>
        <v/>
      </c>
      <c r="F63" t="str">
        <f>IFERROR(INDEX(Input!$F$2:$F$501,MATCH(62,Input!$J$2:$J$501,0)),"")</f>
        <v/>
      </c>
      <c r="G63" s="3" t="str">
        <f>IFERROR(INDEX(Input!$G$2:$G$501,MATCH(62,Input!$J$2:$J$501,0)),"")</f>
        <v/>
      </c>
      <c r="H63" t="str">
        <f>IFERROR(INDEX(Input!$H$2:$H$501,MATCH(62,Input!$J$2:$J$501,0)),"")</f>
        <v/>
      </c>
    </row>
    <row r="64" spans="1:8" x14ac:dyDescent="0.35">
      <c r="A64" t="str">
        <f>IFERROR(INDEX(Input!$A$2:$A$501,MATCH(63,Input!$J$2:$J$501,0)),"")</f>
        <v/>
      </c>
      <c r="B64" t="str">
        <f>IFERROR(INDEX(Input!$B$2:$B$501,MATCH(63,Input!$J$2:$J$501,0)),"")</f>
        <v/>
      </c>
      <c r="C64" t="str">
        <f>IFERROR(INDEX(Input!$C$2:$C$501,MATCH(63,Input!$J$2:$J$501,0)),"")</f>
        <v/>
      </c>
      <c r="D64" t="str">
        <f>IFERROR(INDEX(Input!$D$2:$D$501,MATCH(63,Input!$J$2:$J$501,0)),"")</f>
        <v/>
      </c>
      <c r="E64" s="3" t="str">
        <f>IFERROR(INDEX(Input!$E$2:$E$501,MATCH(63,Input!$J$2:$J$501,0)),"")</f>
        <v/>
      </c>
      <c r="F64" t="str">
        <f>IFERROR(INDEX(Input!$F$2:$F$501,MATCH(63,Input!$J$2:$J$501,0)),"")</f>
        <v/>
      </c>
      <c r="G64" s="3" t="str">
        <f>IFERROR(INDEX(Input!$G$2:$G$501,MATCH(63,Input!$J$2:$J$501,0)),"")</f>
        <v/>
      </c>
      <c r="H64" t="str">
        <f>IFERROR(INDEX(Input!$H$2:$H$501,MATCH(63,Input!$J$2:$J$501,0)),"")</f>
        <v/>
      </c>
    </row>
    <row r="65" spans="1:8" x14ac:dyDescent="0.35">
      <c r="A65" t="str">
        <f>IFERROR(INDEX(Input!$A$2:$A$501,MATCH(64,Input!$J$2:$J$501,0)),"")</f>
        <v/>
      </c>
      <c r="B65" t="str">
        <f>IFERROR(INDEX(Input!$B$2:$B$501,MATCH(64,Input!$J$2:$J$501,0)),"")</f>
        <v/>
      </c>
      <c r="C65" t="str">
        <f>IFERROR(INDEX(Input!$C$2:$C$501,MATCH(64,Input!$J$2:$J$501,0)),"")</f>
        <v/>
      </c>
      <c r="D65" t="str">
        <f>IFERROR(INDEX(Input!$D$2:$D$501,MATCH(64,Input!$J$2:$J$501,0)),"")</f>
        <v/>
      </c>
      <c r="E65" s="3" t="str">
        <f>IFERROR(INDEX(Input!$E$2:$E$501,MATCH(64,Input!$J$2:$J$501,0)),"")</f>
        <v/>
      </c>
      <c r="F65" t="str">
        <f>IFERROR(INDEX(Input!$F$2:$F$501,MATCH(64,Input!$J$2:$J$501,0)),"")</f>
        <v/>
      </c>
      <c r="G65" s="3" t="str">
        <f>IFERROR(INDEX(Input!$G$2:$G$501,MATCH(64,Input!$J$2:$J$501,0)),"")</f>
        <v/>
      </c>
      <c r="H65" t="str">
        <f>IFERROR(INDEX(Input!$H$2:$H$501,MATCH(64,Input!$J$2:$J$501,0)),"")</f>
        <v/>
      </c>
    </row>
    <row r="66" spans="1:8" x14ac:dyDescent="0.35">
      <c r="A66" t="str">
        <f>IFERROR(INDEX(Input!$A$2:$A$501,MATCH(65,Input!$J$2:$J$501,0)),"")</f>
        <v/>
      </c>
      <c r="B66" t="str">
        <f>IFERROR(INDEX(Input!$B$2:$B$501,MATCH(65,Input!$J$2:$J$501,0)),"")</f>
        <v/>
      </c>
      <c r="C66" t="str">
        <f>IFERROR(INDEX(Input!$C$2:$C$501,MATCH(65,Input!$J$2:$J$501,0)),"")</f>
        <v/>
      </c>
      <c r="D66" t="str">
        <f>IFERROR(INDEX(Input!$D$2:$D$501,MATCH(65,Input!$J$2:$J$501,0)),"")</f>
        <v/>
      </c>
      <c r="E66" s="3" t="str">
        <f>IFERROR(INDEX(Input!$E$2:$E$501,MATCH(65,Input!$J$2:$J$501,0)),"")</f>
        <v/>
      </c>
      <c r="F66" t="str">
        <f>IFERROR(INDEX(Input!$F$2:$F$501,MATCH(65,Input!$J$2:$J$501,0)),"")</f>
        <v/>
      </c>
      <c r="G66" s="3" t="str">
        <f>IFERROR(INDEX(Input!$G$2:$G$501,MATCH(65,Input!$J$2:$J$501,0)),"")</f>
        <v/>
      </c>
      <c r="H66" t="str">
        <f>IFERROR(INDEX(Input!$H$2:$H$501,MATCH(65,Input!$J$2:$J$501,0)),"")</f>
        <v/>
      </c>
    </row>
    <row r="67" spans="1:8" x14ac:dyDescent="0.35">
      <c r="A67" t="str">
        <f>IFERROR(INDEX(Input!$A$2:$A$501,MATCH(66,Input!$J$2:$J$501,0)),"")</f>
        <v/>
      </c>
      <c r="B67" t="str">
        <f>IFERROR(INDEX(Input!$B$2:$B$501,MATCH(66,Input!$J$2:$J$501,0)),"")</f>
        <v/>
      </c>
      <c r="C67" t="str">
        <f>IFERROR(INDEX(Input!$C$2:$C$501,MATCH(66,Input!$J$2:$J$501,0)),"")</f>
        <v/>
      </c>
      <c r="D67" t="str">
        <f>IFERROR(INDEX(Input!$D$2:$D$501,MATCH(66,Input!$J$2:$J$501,0)),"")</f>
        <v/>
      </c>
      <c r="E67" s="3" t="str">
        <f>IFERROR(INDEX(Input!$E$2:$E$501,MATCH(66,Input!$J$2:$J$501,0)),"")</f>
        <v/>
      </c>
      <c r="F67" t="str">
        <f>IFERROR(INDEX(Input!$F$2:$F$501,MATCH(66,Input!$J$2:$J$501,0)),"")</f>
        <v/>
      </c>
      <c r="G67" s="3" t="str">
        <f>IFERROR(INDEX(Input!$G$2:$G$501,MATCH(66,Input!$J$2:$J$501,0)),"")</f>
        <v/>
      </c>
      <c r="H67" t="str">
        <f>IFERROR(INDEX(Input!$H$2:$H$501,MATCH(66,Input!$J$2:$J$501,0)),"")</f>
        <v/>
      </c>
    </row>
    <row r="68" spans="1:8" x14ac:dyDescent="0.35">
      <c r="A68" t="str">
        <f>IFERROR(INDEX(Input!$A$2:$A$501,MATCH(67,Input!$J$2:$J$501,0)),"")</f>
        <v/>
      </c>
      <c r="B68" t="str">
        <f>IFERROR(INDEX(Input!$B$2:$B$501,MATCH(67,Input!$J$2:$J$501,0)),"")</f>
        <v/>
      </c>
      <c r="C68" t="str">
        <f>IFERROR(INDEX(Input!$C$2:$C$501,MATCH(67,Input!$J$2:$J$501,0)),"")</f>
        <v/>
      </c>
      <c r="D68" t="str">
        <f>IFERROR(INDEX(Input!$D$2:$D$501,MATCH(67,Input!$J$2:$J$501,0)),"")</f>
        <v/>
      </c>
      <c r="E68" s="3" t="str">
        <f>IFERROR(INDEX(Input!$E$2:$E$501,MATCH(67,Input!$J$2:$J$501,0)),"")</f>
        <v/>
      </c>
      <c r="F68" t="str">
        <f>IFERROR(INDEX(Input!$F$2:$F$501,MATCH(67,Input!$J$2:$J$501,0)),"")</f>
        <v/>
      </c>
      <c r="G68" s="3" t="str">
        <f>IFERROR(INDEX(Input!$G$2:$G$501,MATCH(67,Input!$J$2:$J$501,0)),"")</f>
        <v/>
      </c>
      <c r="H68" t="str">
        <f>IFERROR(INDEX(Input!$H$2:$H$501,MATCH(67,Input!$J$2:$J$501,0)),"")</f>
        <v/>
      </c>
    </row>
    <row r="69" spans="1:8" x14ac:dyDescent="0.35">
      <c r="A69" t="str">
        <f>IFERROR(INDEX(Input!$A$2:$A$501,MATCH(68,Input!$J$2:$J$501,0)),"")</f>
        <v/>
      </c>
      <c r="B69" t="str">
        <f>IFERROR(INDEX(Input!$B$2:$B$501,MATCH(68,Input!$J$2:$J$501,0)),"")</f>
        <v/>
      </c>
      <c r="C69" t="str">
        <f>IFERROR(INDEX(Input!$C$2:$C$501,MATCH(68,Input!$J$2:$J$501,0)),"")</f>
        <v/>
      </c>
      <c r="D69" t="str">
        <f>IFERROR(INDEX(Input!$D$2:$D$501,MATCH(68,Input!$J$2:$J$501,0)),"")</f>
        <v/>
      </c>
      <c r="E69" s="3" t="str">
        <f>IFERROR(INDEX(Input!$E$2:$E$501,MATCH(68,Input!$J$2:$J$501,0)),"")</f>
        <v/>
      </c>
      <c r="F69" t="str">
        <f>IFERROR(INDEX(Input!$F$2:$F$501,MATCH(68,Input!$J$2:$J$501,0)),"")</f>
        <v/>
      </c>
      <c r="G69" s="3" t="str">
        <f>IFERROR(INDEX(Input!$G$2:$G$501,MATCH(68,Input!$J$2:$J$501,0)),"")</f>
        <v/>
      </c>
      <c r="H69" t="str">
        <f>IFERROR(INDEX(Input!$H$2:$H$501,MATCH(68,Input!$J$2:$J$501,0)),"")</f>
        <v/>
      </c>
    </row>
    <row r="70" spans="1:8" x14ac:dyDescent="0.35">
      <c r="A70" t="str">
        <f>IFERROR(INDEX(Input!$A$2:$A$501,MATCH(69,Input!$J$2:$J$501,0)),"")</f>
        <v/>
      </c>
      <c r="B70" t="str">
        <f>IFERROR(INDEX(Input!$B$2:$B$501,MATCH(69,Input!$J$2:$J$501,0)),"")</f>
        <v/>
      </c>
      <c r="C70" t="str">
        <f>IFERROR(INDEX(Input!$C$2:$C$501,MATCH(69,Input!$J$2:$J$501,0)),"")</f>
        <v/>
      </c>
      <c r="D70" t="str">
        <f>IFERROR(INDEX(Input!$D$2:$D$501,MATCH(69,Input!$J$2:$J$501,0)),"")</f>
        <v/>
      </c>
      <c r="E70" s="3" t="str">
        <f>IFERROR(INDEX(Input!$E$2:$E$501,MATCH(69,Input!$J$2:$J$501,0)),"")</f>
        <v/>
      </c>
      <c r="F70" t="str">
        <f>IFERROR(INDEX(Input!$F$2:$F$501,MATCH(69,Input!$J$2:$J$501,0)),"")</f>
        <v/>
      </c>
      <c r="G70" s="3" t="str">
        <f>IFERROR(INDEX(Input!$G$2:$G$501,MATCH(69,Input!$J$2:$J$501,0)),"")</f>
        <v/>
      </c>
      <c r="H70" t="str">
        <f>IFERROR(INDEX(Input!$H$2:$H$501,MATCH(69,Input!$J$2:$J$501,0)),"")</f>
        <v/>
      </c>
    </row>
    <row r="71" spans="1:8" x14ac:dyDescent="0.35">
      <c r="A71" t="str">
        <f>IFERROR(INDEX(Input!$A$2:$A$501,MATCH(70,Input!$J$2:$J$501,0)),"")</f>
        <v/>
      </c>
      <c r="B71" t="str">
        <f>IFERROR(INDEX(Input!$B$2:$B$501,MATCH(70,Input!$J$2:$J$501,0)),"")</f>
        <v/>
      </c>
      <c r="C71" t="str">
        <f>IFERROR(INDEX(Input!$C$2:$C$501,MATCH(70,Input!$J$2:$J$501,0)),"")</f>
        <v/>
      </c>
      <c r="D71" t="str">
        <f>IFERROR(INDEX(Input!$D$2:$D$501,MATCH(70,Input!$J$2:$J$501,0)),"")</f>
        <v/>
      </c>
      <c r="E71" s="3" t="str">
        <f>IFERROR(INDEX(Input!$E$2:$E$501,MATCH(70,Input!$J$2:$J$501,0)),"")</f>
        <v/>
      </c>
      <c r="F71" t="str">
        <f>IFERROR(INDEX(Input!$F$2:$F$501,MATCH(70,Input!$J$2:$J$501,0)),"")</f>
        <v/>
      </c>
      <c r="G71" s="3" t="str">
        <f>IFERROR(INDEX(Input!$G$2:$G$501,MATCH(70,Input!$J$2:$J$501,0)),"")</f>
        <v/>
      </c>
      <c r="H71" t="str">
        <f>IFERROR(INDEX(Input!$H$2:$H$501,MATCH(70,Input!$J$2:$J$501,0)),"")</f>
        <v/>
      </c>
    </row>
    <row r="72" spans="1:8" x14ac:dyDescent="0.35">
      <c r="A72" t="str">
        <f>IFERROR(INDEX(Input!$A$2:$A$501,MATCH(71,Input!$J$2:$J$501,0)),"")</f>
        <v/>
      </c>
      <c r="B72" t="str">
        <f>IFERROR(INDEX(Input!$B$2:$B$501,MATCH(71,Input!$J$2:$J$501,0)),"")</f>
        <v/>
      </c>
      <c r="C72" t="str">
        <f>IFERROR(INDEX(Input!$C$2:$C$501,MATCH(71,Input!$J$2:$J$501,0)),"")</f>
        <v/>
      </c>
      <c r="D72" t="str">
        <f>IFERROR(INDEX(Input!$D$2:$D$501,MATCH(71,Input!$J$2:$J$501,0)),"")</f>
        <v/>
      </c>
      <c r="E72" s="3" t="str">
        <f>IFERROR(INDEX(Input!$E$2:$E$501,MATCH(71,Input!$J$2:$J$501,0)),"")</f>
        <v/>
      </c>
      <c r="F72" t="str">
        <f>IFERROR(INDEX(Input!$F$2:$F$501,MATCH(71,Input!$J$2:$J$501,0)),"")</f>
        <v/>
      </c>
      <c r="G72" s="3" t="str">
        <f>IFERROR(INDEX(Input!$G$2:$G$501,MATCH(71,Input!$J$2:$J$501,0)),"")</f>
        <v/>
      </c>
      <c r="H72" t="str">
        <f>IFERROR(INDEX(Input!$H$2:$H$501,MATCH(71,Input!$J$2:$J$501,0)),"")</f>
        <v/>
      </c>
    </row>
    <row r="73" spans="1:8" x14ac:dyDescent="0.35">
      <c r="A73" t="str">
        <f>IFERROR(INDEX(Input!$A$2:$A$501,MATCH(72,Input!$J$2:$J$501,0)),"")</f>
        <v/>
      </c>
      <c r="B73" t="str">
        <f>IFERROR(INDEX(Input!$B$2:$B$501,MATCH(72,Input!$J$2:$J$501,0)),"")</f>
        <v/>
      </c>
      <c r="C73" t="str">
        <f>IFERROR(INDEX(Input!$C$2:$C$501,MATCH(72,Input!$J$2:$J$501,0)),"")</f>
        <v/>
      </c>
      <c r="D73" t="str">
        <f>IFERROR(INDEX(Input!$D$2:$D$501,MATCH(72,Input!$J$2:$J$501,0)),"")</f>
        <v/>
      </c>
      <c r="E73" s="3" t="str">
        <f>IFERROR(INDEX(Input!$E$2:$E$501,MATCH(72,Input!$J$2:$J$501,0)),"")</f>
        <v/>
      </c>
      <c r="F73" t="str">
        <f>IFERROR(INDEX(Input!$F$2:$F$501,MATCH(72,Input!$J$2:$J$501,0)),"")</f>
        <v/>
      </c>
      <c r="G73" s="3" t="str">
        <f>IFERROR(INDEX(Input!$G$2:$G$501,MATCH(72,Input!$J$2:$J$501,0)),"")</f>
        <v/>
      </c>
      <c r="H73" t="str">
        <f>IFERROR(INDEX(Input!$H$2:$H$501,MATCH(72,Input!$J$2:$J$501,0)),"")</f>
        <v/>
      </c>
    </row>
    <row r="74" spans="1:8" x14ac:dyDescent="0.35">
      <c r="A74" t="str">
        <f>IFERROR(INDEX(Input!$A$2:$A$501,MATCH(73,Input!$J$2:$J$501,0)),"")</f>
        <v/>
      </c>
      <c r="B74" t="str">
        <f>IFERROR(INDEX(Input!$B$2:$B$501,MATCH(73,Input!$J$2:$J$501,0)),"")</f>
        <v/>
      </c>
      <c r="C74" t="str">
        <f>IFERROR(INDEX(Input!$C$2:$C$501,MATCH(73,Input!$J$2:$J$501,0)),"")</f>
        <v/>
      </c>
      <c r="D74" t="str">
        <f>IFERROR(INDEX(Input!$D$2:$D$501,MATCH(73,Input!$J$2:$J$501,0)),"")</f>
        <v/>
      </c>
      <c r="E74" s="3" t="str">
        <f>IFERROR(INDEX(Input!$E$2:$E$501,MATCH(73,Input!$J$2:$J$501,0)),"")</f>
        <v/>
      </c>
      <c r="F74" t="str">
        <f>IFERROR(INDEX(Input!$F$2:$F$501,MATCH(73,Input!$J$2:$J$501,0)),"")</f>
        <v/>
      </c>
      <c r="G74" s="3" t="str">
        <f>IFERROR(INDEX(Input!$G$2:$G$501,MATCH(73,Input!$J$2:$J$501,0)),"")</f>
        <v/>
      </c>
      <c r="H74" t="str">
        <f>IFERROR(INDEX(Input!$H$2:$H$501,MATCH(73,Input!$J$2:$J$501,0)),"")</f>
        <v/>
      </c>
    </row>
    <row r="75" spans="1:8" x14ac:dyDescent="0.35">
      <c r="A75" t="str">
        <f>IFERROR(INDEX(Input!$A$2:$A$501,MATCH(74,Input!$J$2:$J$501,0)),"")</f>
        <v/>
      </c>
      <c r="B75" t="str">
        <f>IFERROR(INDEX(Input!$B$2:$B$501,MATCH(74,Input!$J$2:$J$501,0)),"")</f>
        <v/>
      </c>
      <c r="C75" t="str">
        <f>IFERROR(INDEX(Input!$C$2:$C$501,MATCH(74,Input!$J$2:$J$501,0)),"")</f>
        <v/>
      </c>
      <c r="D75" t="str">
        <f>IFERROR(INDEX(Input!$D$2:$D$501,MATCH(74,Input!$J$2:$J$501,0)),"")</f>
        <v/>
      </c>
      <c r="E75" s="3" t="str">
        <f>IFERROR(INDEX(Input!$E$2:$E$501,MATCH(74,Input!$J$2:$J$501,0)),"")</f>
        <v/>
      </c>
      <c r="F75" t="str">
        <f>IFERROR(INDEX(Input!$F$2:$F$501,MATCH(74,Input!$J$2:$J$501,0)),"")</f>
        <v/>
      </c>
      <c r="G75" s="3" t="str">
        <f>IFERROR(INDEX(Input!$G$2:$G$501,MATCH(74,Input!$J$2:$J$501,0)),"")</f>
        <v/>
      </c>
      <c r="H75" t="str">
        <f>IFERROR(INDEX(Input!$H$2:$H$501,MATCH(74,Input!$J$2:$J$501,0)),"")</f>
        <v/>
      </c>
    </row>
    <row r="76" spans="1:8" x14ac:dyDescent="0.35">
      <c r="A76" t="str">
        <f>IFERROR(INDEX(Input!$A$2:$A$501,MATCH(75,Input!$J$2:$J$501,0)),"")</f>
        <v/>
      </c>
      <c r="B76" t="str">
        <f>IFERROR(INDEX(Input!$B$2:$B$501,MATCH(75,Input!$J$2:$J$501,0)),"")</f>
        <v/>
      </c>
      <c r="C76" t="str">
        <f>IFERROR(INDEX(Input!$C$2:$C$501,MATCH(75,Input!$J$2:$J$501,0)),"")</f>
        <v/>
      </c>
      <c r="D76" t="str">
        <f>IFERROR(INDEX(Input!$D$2:$D$501,MATCH(75,Input!$J$2:$J$501,0)),"")</f>
        <v/>
      </c>
      <c r="E76" s="3" t="str">
        <f>IFERROR(INDEX(Input!$E$2:$E$501,MATCH(75,Input!$J$2:$J$501,0)),"")</f>
        <v/>
      </c>
      <c r="F76" t="str">
        <f>IFERROR(INDEX(Input!$F$2:$F$501,MATCH(75,Input!$J$2:$J$501,0)),"")</f>
        <v/>
      </c>
      <c r="G76" s="3" t="str">
        <f>IFERROR(INDEX(Input!$G$2:$G$501,MATCH(75,Input!$J$2:$J$501,0)),"")</f>
        <v/>
      </c>
      <c r="H76" t="str">
        <f>IFERROR(INDEX(Input!$H$2:$H$501,MATCH(75,Input!$J$2:$J$501,0)),"")</f>
        <v/>
      </c>
    </row>
    <row r="77" spans="1:8" x14ac:dyDescent="0.35">
      <c r="A77" t="str">
        <f>IFERROR(INDEX(Input!$A$2:$A$501,MATCH(76,Input!$J$2:$J$501,0)),"")</f>
        <v/>
      </c>
      <c r="B77" t="str">
        <f>IFERROR(INDEX(Input!$B$2:$B$501,MATCH(76,Input!$J$2:$J$501,0)),"")</f>
        <v/>
      </c>
      <c r="C77" t="str">
        <f>IFERROR(INDEX(Input!$C$2:$C$501,MATCH(76,Input!$J$2:$J$501,0)),"")</f>
        <v/>
      </c>
      <c r="D77" t="str">
        <f>IFERROR(INDEX(Input!$D$2:$D$501,MATCH(76,Input!$J$2:$J$501,0)),"")</f>
        <v/>
      </c>
      <c r="E77" s="3" t="str">
        <f>IFERROR(INDEX(Input!$E$2:$E$501,MATCH(76,Input!$J$2:$J$501,0)),"")</f>
        <v/>
      </c>
      <c r="F77" t="str">
        <f>IFERROR(INDEX(Input!$F$2:$F$501,MATCH(76,Input!$J$2:$J$501,0)),"")</f>
        <v/>
      </c>
      <c r="G77" s="3" t="str">
        <f>IFERROR(INDEX(Input!$G$2:$G$501,MATCH(76,Input!$J$2:$J$501,0)),"")</f>
        <v/>
      </c>
      <c r="H77" t="str">
        <f>IFERROR(INDEX(Input!$H$2:$H$501,MATCH(76,Input!$J$2:$J$501,0)),"")</f>
        <v/>
      </c>
    </row>
    <row r="78" spans="1:8" x14ac:dyDescent="0.35">
      <c r="A78" t="str">
        <f>IFERROR(INDEX(Input!$A$2:$A$501,MATCH(77,Input!$J$2:$J$501,0)),"")</f>
        <v/>
      </c>
      <c r="B78" t="str">
        <f>IFERROR(INDEX(Input!$B$2:$B$501,MATCH(77,Input!$J$2:$J$501,0)),"")</f>
        <v/>
      </c>
      <c r="C78" t="str">
        <f>IFERROR(INDEX(Input!$C$2:$C$501,MATCH(77,Input!$J$2:$J$501,0)),"")</f>
        <v/>
      </c>
      <c r="D78" t="str">
        <f>IFERROR(INDEX(Input!$D$2:$D$501,MATCH(77,Input!$J$2:$J$501,0)),"")</f>
        <v/>
      </c>
      <c r="E78" s="3" t="str">
        <f>IFERROR(INDEX(Input!$E$2:$E$501,MATCH(77,Input!$J$2:$J$501,0)),"")</f>
        <v/>
      </c>
      <c r="F78" t="str">
        <f>IFERROR(INDEX(Input!$F$2:$F$501,MATCH(77,Input!$J$2:$J$501,0)),"")</f>
        <v/>
      </c>
      <c r="G78" s="3" t="str">
        <f>IFERROR(INDEX(Input!$G$2:$G$501,MATCH(77,Input!$J$2:$J$501,0)),"")</f>
        <v/>
      </c>
      <c r="H78" t="str">
        <f>IFERROR(INDEX(Input!$H$2:$H$501,MATCH(77,Input!$J$2:$J$501,0)),"")</f>
        <v/>
      </c>
    </row>
    <row r="79" spans="1:8" x14ac:dyDescent="0.35">
      <c r="A79" t="str">
        <f>IFERROR(INDEX(Input!$A$2:$A$501,MATCH(78,Input!$J$2:$J$501,0)),"")</f>
        <v/>
      </c>
      <c r="B79" t="str">
        <f>IFERROR(INDEX(Input!$B$2:$B$501,MATCH(78,Input!$J$2:$J$501,0)),"")</f>
        <v/>
      </c>
      <c r="C79" t="str">
        <f>IFERROR(INDEX(Input!$C$2:$C$501,MATCH(78,Input!$J$2:$J$501,0)),"")</f>
        <v/>
      </c>
      <c r="D79" t="str">
        <f>IFERROR(INDEX(Input!$D$2:$D$501,MATCH(78,Input!$J$2:$J$501,0)),"")</f>
        <v/>
      </c>
      <c r="E79" s="3" t="str">
        <f>IFERROR(INDEX(Input!$E$2:$E$501,MATCH(78,Input!$J$2:$J$501,0)),"")</f>
        <v/>
      </c>
      <c r="F79" t="str">
        <f>IFERROR(INDEX(Input!$F$2:$F$501,MATCH(78,Input!$J$2:$J$501,0)),"")</f>
        <v/>
      </c>
      <c r="G79" s="3" t="str">
        <f>IFERROR(INDEX(Input!$G$2:$G$501,MATCH(78,Input!$J$2:$J$501,0)),"")</f>
        <v/>
      </c>
      <c r="H79" t="str">
        <f>IFERROR(INDEX(Input!$H$2:$H$501,MATCH(78,Input!$J$2:$J$501,0)),"")</f>
        <v/>
      </c>
    </row>
    <row r="80" spans="1:8" x14ac:dyDescent="0.35">
      <c r="A80" t="str">
        <f>IFERROR(INDEX(Input!$A$2:$A$501,MATCH(79,Input!$J$2:$J$501,0)),"")</f>
        <v/>
      </c>
      <c r="B80" t="str">
        <f>IFERROR(INDEX(Input!$B$2:$B$501,MATCH(79,Input!$J$2:$J$501,0)),"")</f>
        <v/>
      </c>
      <c r="C80" t="str">
        <f>IFERROR(INDEX(Input!$C$2:$C$501,MATCH(79,Input!$J$2:$J$501,0)),"")</f>
        <v/>
      </c>
      <c r="D80" t="str">
        <f>IFERROR(INDEX(Input!$D$2:$D$501,MATCH(79,Input!$J$2:$J$501,0)),"")</f>
        <v/>
      </c>
      <c r="E80" s="3" t="str">
        <f>IFERROR(INDEX(Input!$E$2:$E$501,MATCH(79,Input!$J$2:$J$501,0)),"")</f>
        <v/>
      </c>
      <c r="F80" t="str">
        <f>IFERROR(INDEX(Input!$F$2:$F$501,MATCH(79,Input!$J$2:$J$501,0)),"")</f>
        <v/>
      </c>
      <c r="G80" s="3" t="str">
        <f>IFERROR(INDEX(Input!$G$2:$G$501,MATCH(79,Input!$J$2:$J$501,0)),"")</f>
        <v/>
      </c>
      <c r="H80" t="str">
        <f>IFERROR(INDEX(Input!$H$2:$H$501,MATCH(79,Input!$J$2:$J$501,0)),"")</f>
        <v/>
      </c>
    </row>
    <row r="81" spans="1:8" x14ac:dyDescent="0.35">
      <c r="A81" t="str">
        <f>IFERROR(INDEX(Input!$A$2:$A$501,MATCH(80,Input!$J$2:$J$501,0)),"")</f>
        <v/>
      </c>
      <c r="B81" t="str">
        <f>IFERROR(INDEX(Input!$B$2:$B$501,MATCH(80,Input!$J$2:$J$501,0)),"")</f>
        <v/>
      </c>
      <c r="C81" t="str">
        <f>IFERROR(INDEX(Input!$C$2:$C$501,MATCH(80,Input!$J$2:$J$501,0)),"")</f>
        <v/>
      </c>
      <c r="D81" t="str">
        <f>IFERROR(INDEX(Input!$D$2:$D$501,MATCH(80,Input!$J$2:$J$501,0)),"")</f>
        <v/>
      </c>
      <c r="E81" s="3" t="str">
        <f>IFERROR(INDEX(Input!$E$2:$E$501,MATCH(80,Input!$J$2:$J$501,0)),"")</f>
        <v/>
      </c>
      <c r="F81" t="str">
        <f>IFERROR(INDEX(Input!$F$2:$F$501,MATCH(80,Input!$J$2:$J$501,0)),"")</f>
        <v/>
      </c>
      <c r="G81" s="3" t="str">
        <f>IFERROR(INDEX(Input!$G$2:$G$501,MATCH(80,Input!$J$2:$J$501,0)),"")</f>
        <v/>
      </c>
      <c r="H81" t="str">
        <f>IFERROR(INDEX(Input!$H$2:$H$501,MATCH(80,Input!$J$2:$J$501,0)),"")</f>
        <v/>
      </c>
    </row>
    <row r="82" spans="1:8" x14ac:dyDescent="0.35">
      <c r="A82" t="str">
        <f>IFERROR(INDEX(Input!$A$2:$A$501,MATCH(81,Input!$J$2:$J$501,0)),"")</f>
        <v/>
      </c>
      <c r="B82" t="str">
        <f>IFERROR(INDEX(Input!$B$2:$B$501,MATCH(81,Input!$J$2:$J$501,0)),"")</f>
        <v/>
      </c>
      <c r="C82" t="str">
        <f>IFERROR(INDEX(Input!$C$2:$C$501,MATCH(81,Input!$J$2:$J$501,0)),"")</f>
        <v/>
      </c>
      <c r="D82" t="str">
        <f>IFERROR(INDEX(Input!$D$2:$D$501,MATCH(81,Input!$J$2:$J$501,0)),"")</f>
        <v/>
      </c>
      <c r="E82" s="3" t="str">
        <f>IFERROR(INDEX(Input!$E$2:$E$501,MATCH(81,Input!$J$2:$J$501,0)),"")</f>
        <v/>
      </c>
      <c r="F82" t="str">
        <f>IFERROR(INDEX(Input!$F$2:$F$501,MATCH(81,Input!$J$2:$J$501,0)),"")</f>
        <v/>
      </c>
      <c r="G82" s="3" t="str">
        <f>IFERROR(INDEX(Input!$G$2:$G$501,MATCH(81,Input!$J$2:$J$501,0)),"")</f>
        <v/>
      </c>
      <c r="H82" t="str">
        <f>IFERROR(INDEX(Input!$H$2:$H$501,MATCH(81,Input!$J$2:$J$501,0)),"")</f>
        <v/>
      </c>
    </row>
    <row r="83" spans="1:8" x14ac:dyDescent="0.35">
      <c r="A83" t="str">
        <f>IFERROR(INDEX(Input!$A$2:$A$501,MATCH(82,Input!$J$2:$J$501,0)),"")</f>
        <v/>
      </c>
      <c r="B83" t="str">
        <f>IFERROR(INDEX(Input!$B$2:$B$501,MATCH(82,Input!$J$2:$J$501,0)),"")</f>
        <v/>
      </c>
      <c r="C83" t="str">
        <f>IFERROR(INDEX(Input!$C$2:$C$501,MATCH(82,Input!$J$2:$J$501,0)),"")</f>
        <v/>
      </c>
      <c r="D83" t="str">
        <f>IFERROR(INDEX(Input!$D$2:$D$501,MATCH(82,Input!$J$2:$J$501,0)),"")</f>
        <v/>
      </c>
      <c r="E83" s="3" t="str">
        <f>IFERROR(INDEX(Input!$E$2:$E$501,MATCH(82,Input!$J$2:$J$501,0)),"")</f>
        <v/>
      </c>
      <c r="F83" t="str">
        <f>IFERROR(INDEX(Input!$F$2:$F$501,MATCH(82,Input!$J$2:$J$501,0)),"")</f>
        <v/>
      </c>
      <c r="G83" s="3" t="str">
        <f>IFERROR(INDEX(Input!$G$2:$G$501,MATCH(82,Input!$J$2:$J$501,0)),"")</f>
        <v/>
      </c>
      <c r="H83" t="str">
        <f>IFERROR(INDEX(Input!$H$2:$H$501,MATCH(82,Input!$J$2:$J$501,0)),"")</f>
        <v/>
      </c>
    </row>
    <row r="84" spans="1:8" x14ac:dyDescent="0.35">
      <c r="A84" t="str">
        <f>IFERROR(INDEX(Input!$A$2:$A$501,MATCH(83,Input!$J$2:$J$501,0)),"")</f>
        <v/>
      </c>
      <c r="B84" t="str">
        <f>IFERROR(INDEX(Input!$B$2:$B$501,MATCH(83,Input!$J$2:$J$501,0)),"")</f>
        <v/>
      </c>
      <c r="C84" t="str">
        <f>IFERROR(INDEX(Input!$C$2:$C$501,MATCH(83,Input!$J$2:$J$501,0)),"")</f>
        <v/>
      </c>
      <c r="D84" t="str">
        <f>IFERROR(INDEX(Input!$D$2:$D$501,MATCH(83,Input!$J$2:$J$501,0)),"")</f>
        <v/>
      </c>
      <c r="E84" s="3" t="str">
        <f>IFERROR(INDEX(Input!$E$2:$E$501,MATCH(83,Input!$J$2:$J$501,0)),"")</f>
        <v/>
      </c>
      <c r="F84" t="str">
        <f>IFERROR(INDEX(Input!$F$2:$F$501,MATCH(83,Input!$J$2:$J$501,0)),"")</f>
        <v/>
      </c>
      <c r="G84" s="3" t="str">
        <f>IFERROR(INDEX(Input!$G$2:$G$501,MATCH(83,Input!$J$2:$J$501,0)),"")</f>
        <v/>
      </c>
      <c r="H84" t="str">
        <f>IFERROR(INDEX(Input!$H$2:$H$501,MATCH(83,Input!$J$2:$J$501,0)),"")</f>
        <v/>
      </c>
    </row>
    <row r="85" spans="1:8" x14ac:dyDescent="0.35">
      <c r="A85" t="str">
        <f>IFERROR(INDEX(Input!$A$2:$A$501,MATCH(84,Input!$J$2:$J$501,0)),"")</f>
        <v/>
      </c>
      <c r="B85" t="str">
        <f>IFERROR(INDEX(Input!$B$2:$B$501,MATCH(84,Input!$J$2:$J$501,0)),"")</f>
        <v/>
      </c>
      <c r="C85" t="str">
        <f>IFERROR(INDEX(Input!$C$2:$C$501,MATCH(84,Input!$J$2:$J$501,0)),"")</f>
        <v/>
      </c>
      <c r="D85" t="str">
        <f>IFERROR(INDEX(Input!$D$2:$D$501,MATCH(84,Input!$J$2:$J$501,0)),"")</f>
        <v/>
      </c>
      <c r="E85" s="3" t="str">
        <f>IFERROR(INDEX(Input!$E$2:$E$501,MATCH(84,Input!$J$2:$J$501,0)),"")</f>
        <v/>
      </c>
      <c r="F85" t="str">
        <f>IFERROR(INDEX(Input!$F$2:$F$501,MATCH(84,Input!$J$2:$J$501,0)),"")</f>
        <v/>
      </c>
      <c r="G85" s="3" t="str">
        <f>IFERROR(INDEX(Input!$G$2:$G$501,MATCH(84,Input!$J$2:$J$501,0)),"")</f>
        <v/>
      </c>
      <c r="H85" t="str">
        <f>IFERROR(INDEX(Input!$H$2:$H$501,MATCH(84,Input!$J$2:$J$501,0)),"")</f>
        <v/>
      </c>
    </row>
    <row r="86" spans="1:8" x14ac:dyDescent="0.35">
      <c r="A86" t="str">
        <f>IFERROR(INDEX(Input!$A$2:$A$501,MATCH(85,Input!$J$2:$J$501,0)),"")</f>
        <v/>
      </c>
      <c r="B86" t="str">
        <f>IFERROR(INDEX(Input!$B$2:$B$501,MATCH(85,Input!$J$2:$J$501,0)),"")</f>
        <v/>
      </c>
      <c r="C86" t="str">
        <f>IFERROR(INDEX(Input!$C$2:$C$501,MATCH(85,Input!$J$2:$J$501,0)),"")</f>
        <v/>
      </c>
      <c r="D86" t="str">
        <f>IFERROR(INDEX(Input!$D$2:$D$501,MATCH(85,Input!$J$2:$J$501,0)),"")</f>
        <v/>
      </c>
      <c r="E86" s="3" t="str">
        <f>IFERROR(INDEX(Input!$E$2:$E$501,MATCH(85,Input!$J$2:$J$501,0)),"")</f>
        <v/>
      </c>
      <c r="F86" t="str">
        <f>IFERROR(INDEX(Input!$F$2:$F$501,MATCH(85,Input!$J$2:$J$501,0)),"")</f>
        <v/>
      </c>
      <c r="G86" s="3" t="str">
        <f>IFERROR(INDEX(Input!$G$2:$G$501,MATCH(85,Input!$J$2:$J$501,0)),"")</f>
        <v/>
      </c>
      <c r="H86" t="str">
        <f>IFERROR(INDEX(Input!$H$2:$H$501,MATCH(85,Input!$J$2:$J$501,0)),"")</f>
        <v/>
      </c>
    </row>
    <row r="87" spans="1:8" x14ac:dyDescent="0.35">
      <c r="A87" t="str">
        <f>IFERROR(INDEX(Input!$A$2:$A$501,MATCH(86,Input!$J$2:$J$501,0)),"")</f>
        <v/>
      </c>
      <c r="B87" t="str">
        <f>IFERROR(INDEX(Input!$B$2:$B$501,MATCH(86,Input!$J$2:$J$501,0)),"")</f>
        <v/>
      </c>
      <c r="C87" t="str">
        <f>IFERROR(INDEX(Input!$C$2:$C$501,MATCH(86,Input!$J$2:$J$501,0)),"")</f>
        <v/>
      </c>
      <c r="D87" t="str">
        <f>IFERROR(INDEX(Input!$D$2:$D$501,MATCH(86,Input!$J$2:$J$501,0)),"")</f>
        <v/>
      </c>
      <c r="E87" s="3" t="str">
        <f>IFERROR(INDEX(Input!$E$2:$E$501,MATCH(86,Input!$J$2:$J$501,0)),"")</f>
        <v/>
      </c>
      <c r="F87" t="str">
        <f>IFERROR(INDEX(Input!$F$2:$F$501,MATCH(86,Input!$J$2:$J$501,0)),"")</f>
        <v/>
      </c>
      <c r="G87" s="3" t="str">
        <f>IFERROR(INDEX(Input!$G$2:$G$501,MATCH(86,Input!$J$2:$J$501,0)),"")</f>
        <v/>
      </c>
      <c r="H87" t="str">
        <f>IFERROR(INDEX(Input!$H$2:$H$501,MATCH(86,Input!$J$2:$J$501,0)),"")</f>
        <v/>
      </c>
    </row>
    <row r="88" spans="1:8" x14ac:dyDescent="0.35">
      <c r="A88" t="str">
        <f>IFERROR(INDEX(Input!$A$2:$A$501,MATCH(87,Input!$J$2:$J$501,0)),"")</f>
        <v/>
      </c>
      <c r="B88" t="str">
        <f>IFERROR(INDEX(Input!$B$2:$B$501,MATCH(87,Input!$J$2:$J$501,0)),"")</f>
        <v/>
      </c>
      <c r="C88" t="str">
        <f>IFERROR(INDEX(Input!$C$2:$C$501,MATCH(87,Input!$J$2:$J$501,0)),"")</f>
        <v/>
      </c>
      <c r="D88" t="str">
        <f>IFERROR(INDEX(Input!$D$2:$D$501,MATCH(87,Input!$J$2:$J$501,0)),"")</f>
        <v/>
      </c>
      <c r="E88" s="3" t="str">
        <f>IFERROR(INDEX(Input!$E$2:$E$501,MATCH(87,Input!$J$2:$J$501,0)),"")</f>
        <v/>
      </c>
      <c r="F88" t="str">
        <f>IFERROR(INDEX(Input!$F$2:$F$501,MATCH(87,Input!$J$2:$J$501,0)),"")</f>
        <v/>
      </c>
      <c r="G88" s="3" t="str">
        <f>IFERROR(INDEX(Input!$G$2:$G$501,MATCH(87,Input!$J$2:$J$501,0)),"")</f>
        <v/>
      </c>
      <c r="H88" t="str">
        <f>IFERROR(INDEX(Input!$H$2:$H$501,MATCH(87,Input!$J$2:$J$501,0)),"")</f>
        <v/>
      </c>
    </row>
    <row r="89" spans="1:8" x14ac:dyDescent="0.35">
      <c r="A89" t="str">
        <f>IFERROR(INDEX(Input!$A$2:$A$501,MATCH(88,Input!$J$2:$J$501,0)),"")</f>
        <v/>
      </c>
      <c r="B89" t="str">
        <f>IFERROR(INDEX(Input!$B$2:$B$501,MATCH(88,Input!$J$2:$J$501,0)),"")</f>
        <v/>
      </c>
      <c r="C89" t="str">
        <f>IFERROR(INDEX(Input!$C$2:$C$501,MATCH(88,Input!$J$2:$J$501,0)),"")</f>
        <v/>
      </c>
      <c r="D89" t="str">
        <f>IFERROR(INDEX(Input!$D$2:$D$501,MATCH(88,Input!$J$2:$J$501,0)),"")</f>
        <v/>
      </c>
      <c r="E89" s="3" t="str">
        <f>IFERROR(INDEX(Input!$E$2:$E$501,MATCH(88,Input!$J$2:$J$501,0)),"")</f>
        <v/>
      </c>
      <c r="F89" t="str">
        <f>IFERROR(INDEX(Input!$F$2:$F$501,MATCH(88,Input!$J$2:$J$501,0)),"")</f>
        <v/>
      </c>
      <c r="G89" s="3" t="str">
        <f>IFERROR(INDEX(Input!$G$2:$G$501,MATCH(88,Input!$J$2:$J$501,0)),"")</f>
        <v/>
      </c>
      <c r="H89" t="str">
        <f>IFERROR(INDEX(Input!$H$2:$H$501,MATCH(88,Input!$J$2:$J$501,0)),"")</f>
        <v/>
      </c>
    </row>
    <row r="90" spans="1:8" x14ac:dyDescent="0.35">
      <c r="A90" t="str">
        <f>IFERROR(INDEX(Input!$A$2:$A$501,MATCH(89,Input!$J$2:$J$501,0)),"")</f>
        <v/>
      </c>
      <c r="B90" t="str">
        <f>IFERROR(INDEX(Input!$B$2:$B$501,MATCH(89,Input!$J$2:$J$501,0)),"")</f>
        <v/>
      </c>
      <c r="C90" t="str">
        <f>IFERROR(INDEX(Input!$C$2:$C$501,MATCH(89,Input!$J$2:$J$501,0)),"")</f>
        <v/>
      </c>
      <c r="D90" t="str">
        <f>IFERROR(INDEX(Input!$D$2:$D$501,MATCH(89,Input!$J$2:$J$501,0)),"")</f>
        <v/>
      </c>
      <c r="E90" s="3" t="str">
        <f>IFERROR(INDEX(Input!$E$2:$E$501,MATCH(89,Input!$J$2:$J$501,0)),"")</f>
        <v/>
      </c>
      <c r="F90" t="str">
        <f>IFERROR(INDEX(Input!$F$2:$F$501,MATCH(89,Input!$J$2:$J$501,0)),"")</f>
        <v/>
      </c>
      <c r="G90" s="3" t="str">
        <f>IFERROR(INDEX(Input!$G$2:$G$501,MATCH(89,Input!$J$2:$J$501,0)),"")</f>
        <v/>
      </c>
      <c r="H90" t="str">
        <f>IFERROR(INDEX(Input!$H$2:$H$501,MATCH(89,Input!$J$2:$J$501,0)),"")</f>
        <v/>
      </c>
    </row>
    <row r="91" spans="1:8" x14ac:dyDescent="0.35">
      <c r="A91" t="str">
        <f>IFERROR(INDEX(Input!$A$2:$A$501,MATCH(90,Input!$J$2:$J$501,0)),"")</f>
        <v/>
      </c>
      <c r="B91" t="str">
        <f>IFERROR(INDEX(Input!$B$2:$B$501,MATCH(90,Input!$J$2:$J$501,0)),"")</f>
        <v/>
      </c>
      <c r="C91" t="str">
        <f>IFERROR(INDEX(Input!$C$2:$C$501,MATCH(90,Input!$J$2:$J$501,0)),"")</f>
        <v/>
      </c>
      <c r="D91" t="str">
        <f>IFERROR(INDEX(Input!$D$2:$D$501,MATCH(90,Input!$J$2:$J$501,0)),"")</f>
        <v/>
      </c>
      <c r="E91" s="3" t="str">
        <f>IFERROR(INDEX(Input!$E$2:$E$501,MATCH(90,Input!$J$2:$J$501,0)),"")</f>
        <v/>
      </c>
      <c r="F91" t="str">
        <f>IFERROR(INDEX(Input!$F$2:$F$501,MATCH(90,Input!$J$2:$J$501,0)),"")</f>
        <v/>
      </c>
      <c r="G91" s="3" t="str">
        <f>IFERROR(INDEX(Input!$G$2:$G$501,MATCH(90,Input!$J$2:$J$501,0)),"")</f>
        <v/>
      </c>
      <c r="H91" t="str">
        <f>IFERROR(INDEX(Input!$H$2:$H$501,MATCH(90,Input!$J$2:$J$501,0)),"")</f>
        <v/>
      </c>
    </row>
    <row r="92" spans="1:8" x14ac:dyDescent="0.35">
      <c r="A92" t="str">
        <f>IFERROR(INDEX(Input!$A$2:$A$501,MATCH(91,Input!$J$2:$J$501,0)),"")</f>
        <v/>
      </c>
      <c r="B92" t="str">
        <f>IFERROR(INDEX(Input!$B$2:$B$501,MATCH(91,Input!$J$2:$J$501,0)),"")</f>
        <v/>
      </c>
      <c r="C92" t="str">
        <f>IFERROR(INDEX(Input!$C$2:$C$501,MATCH(91,Input!$J$2:$J$501,0)),"")</f>
        <v/>
      </c>
      <c r="D92" t="str">
        <f>IFERROR(INDEX(Input!$D$2:$D$501,MATCH(91,Input!$J$2:$J$501,0)),"")</f>
        <v/>
      </c>
      <c r="E92" s="3" t="str">
        <f>IFERROR(INDEX(Input!$E$2:$E$501,MATCH(91,Input!$J$2:$J$501,0)),"")</f>
        <v/>
      </c>
      <c r="F92" t="str">
        <f>IFERROR(INDEX(Input!$F$2:$F$501,MATCH(91,Input!$J$2:$J$501,0)),"")</f>
        <v/>
      </c>
      <c r="G92" s="3" t="str">
        <f>IFERROR(INDEX(Input!$G$2:$G$501,MATCH(91,Input!$J$2:$J$501,0)),"")</f>
        <v/>
      </c>
      <c r="H92" t="str">
        <f>IFERROR(INDEX(Input!$H$2:$H$501,MATCH(91,Input!$J$2:$J$501,0)),"")</f>
        <v/>
      </c>
    </row>
    <row r="93" spans="1:8" x14ac:dyDescent="0.35">
      <c r="A93" t="str">
        <f>IFERROR(INDEX(Input!$A$2:$A$501,MATCH(92,Input!$J$2:$J$501,0)),"")</f>
        <v/>
      </c>
      <c r="B93" t="str">
        <f>IFERROR(INDEX(Input!$B$2:$B$501,MATCH(92,Input!$J$2:$J$501,0)),"")</f>
        <v/>
      </c>
      <c r="C93" t="str">
        <f>IFERROR(INDEX(Input!$C$2:$C$501,MATCH(92,Input!$J$2:$J$501,0)),"")</f>
        <v/>
      </c>
      <c r="D93" t="str">
        <f>IFERROR(INDEX(Input!$D$2:$D$501,MATCH(92,Input!$J$2:$J$501,0)),"")</f>
        <v/>
      </c>
      <c r="E93" s="3" t="str">
        <f>IFERROR(INDEX(Input!$E$2:$E$501,MATCH(92,Input!$J$2:$J$501,0)),"")</f>
        <v/>
      </c>
      <c r="F93" t="str">
        <f>IFERROR(INDEX(Input!$F$2:$F$501,MATCH(92,Input!$J$2:$J$501,0)),"")</f>
        <v/>
      </c>
      <c r="G93" s="3" t="str">
        <f>IFERROR(INDEX(Input!$G$2:$G$501,MATCH(92,Input!$J$2:$J$501,0)),"")</f>
        <v/>
      </c>
      <c r="H93" t="str">
        <f>IFERROR(INDEX(Input!$H$2:$H$501,MATCH(92,Input!$J$2:$J$501,0)),"")</f>
        <v/>
      </c>
    </row>
    <row r="94" spans="1:8" x14ac:dyDescent="0.35">
      <c r="A94" t="str">
        <f>IFERROR(INDEX(Input!$A$2:$A$501,MATCH(93,Input!$J$2:$J$501,0)),"")</f>
        <v/>
      </c>
      <c r="B94" t="str">
        <f>IFERROR(INDEX(Input!$B$2:$B$501,MATCH(93,Input!$J$2:$J$501,0)),"")</f>
        <v/>
      </c>
      <c r="C94" t="str">
        <f>IFERROR(INDEX(Input!$C$2:$C$501,MATCH(93,Input!$J$2:$J$501,0)),"")</f>
        <v/>
      </c>
      <c r="D94" t="str">
        <f>IFERROR(INDEX(Input!$D$2:$D$501,MATCH(93,Input!$J$2:$J$501,0)),"")</f>
        <v/>
      </c>
      <c r="E94" s="3" t="str">
        <f>IFERROR(INDEX(Input!$E$2:$E$501,MATCH(93,Input!$J$2:$J$501,0)),"")</f>
        <v/>
      </c>
      <c r="F94" t="str">
        <f>IFERROR(INDEX(Input!$F$2:$F$501,MATCH(93,Input!$J$2:$J$501,0)),"")</f>
        <v/>
      </c>
      <c r="G94" s="3" t="str">
        <f>IFERROR(INDEX(Input!$G$2:$G$501,MATCH(93,Input!$J$2:$J$501,0)),"")</f>
        <v/>
      </c>
      <c r="H94" t="str">
        <f>IFERROR(INDEX(Input!$H$2:$H$501,MATCH(93,Input!$J$2:$J$501,0)),"")</f>
        <v/>
      </c>
    </row>
    <row r="95" spans="1:8" x14ac:dyDescent="0.35">
      <c r="A95" t="str">
        <f>IFERROR(INDEX(Input!$A$2:$A$501,MATCH(94,Input!$J$2:$J$501,0)),"")</f>
        <v/>
      </c>
      <c r="B95" t="str">
        <f>IFERROR(INDEX(Input!$B$2:$B$501,MATCH(94,Input!$J$2:$J$501,0)),"")</f>
        <v/>
      </c>
      <c r="C95" t="str">
        <f>IFERROR(INDEX(Input!$C$2:$C$501,MATCH(94,Input!$J$2:$J$501,0)),"")</f>
        <v/>
      </c>
      <c r="D95" t="str">
        <f>IFERROR(INDEX(Input!$D$2:$D$501,MATCH(94,Input!$J$2:$J$501,0)),"")</f>
        <v/>
      </c>
      <c r="E95" s="3" t="str">
        <f>IFERROR(INDEX(Input!$E$2:$E$501,MATCH(94,Input!$J$2:$J$501,0)),"")</f>
        <v/>
      </c>
      <c r="F95" t="str">
        <f>IFERROR(INDEX(Input!$F$2:$F$501,MATCH(94,Input!$J$2:$J$501,0)),"")</f>
        <v/>
      </c>
      <c r="G95" s="3" t="str">
        <f>IFERROR(INDEX(Input!$G$2:$G$501,MATCH(94,Input!$J$2:$J$501,0)),"")</f>
        <v/>
      </c>
      <c r="H95" t="str">
        <f>IFERROR(INDEX(Input!$H$2:$H$501,MATCH(94,Input!$J$2:$J$501,0)),"")</f>
        <v/>
      </c>
    </row>
    <row r="96" spans="1:8" x14ac:dyDescent="0.35">
      <c r="A96" t="str">
        <f>IFERROR(INDEX(Input!$A$2:$A$501,MATCH(95,Input!$J$2:$J$501,0)),"")</f>
        <v/>
      </c>
      <c r="B96" t="str">
        <f>IFERROR(INDEX(Input!$B$2:$B$501,MATCH(95,Input!$J$2:$J$501,0)),"")</f>
        <v/>
      </c>
      <c r="C96" t="str">
        <f>IFERROR(INDEX(Input!$C$2:$C$501,MATCH(95,Input!$J$2:$J$501,0)),"")</f>
        <v/>
      </c>
      <c r="D96" t="str">
        <f>IFERROR(INDEX(Input!$D$2:$D$501,MATCH(95,Input!$J$2:$J$501,0)),"")</f>
        <v/>
      </c>
      <c r="E96" s="3" t="str">
        <f>IFERROR(INDEX(Input!$E$2:$E$501,MATCH(95,Input!$J$2:$J$501,0)),"")</f>
        <v/>
      </c>
      <c r="F96" t="str">
        <f>IFERROR(INDEX(Input!$F$2:$F$501,MATCH(95,Input!$J$2:$J$501,0)),"")</f>
        <v/>
      </c>
      <c r="G96" s="3" t="str">
        <f>IFERROR(INDEX(Input!$G$2:$G$501,MATCH(95,Input!$J$2:$J$501,0)),"")</f>
        <v/>
      </c>
      <c r="H96" t="str">
        <f>IFERROR(INDEX(Input!$H$2:$H$501,MATCH(95,Input!$J$2:$J$501,0)),"")</f>
        <v/>
      </c>
    </row>
    <row r="97" spans="1:8" x14ac:dyDescent="0.35">
      <c r="A97" t="str">
        <f>IFERROR(INDEX(Input!$A$2:$A$501,MATCH(96,Input!$J$2:$J$501,0)),"")</f>
        <v/>
      </c>
      <c r="B97" t="str">
        <f>IFERROR(INDEX(Input!$B$2:$B$501,MATCH(96,Input!$J$2:$J$501,0)),"")</f>
        <v/>
      </c>
      <c r="C97" t="str">
        <f>IFERROR(INDEX(Input!$C$2:$C$501,MATCH(96,Input!$J$2:$J$501,0)),"")</f>
        <v/>
      </c>
      <c r="D97" t="str">
        <f>IFERROR(INDEX(Input!$D$2:$D$501,MATCH(96,Input!$J$2:$J$501,0)),"")</f>
        <v/>
      </c>
      <c r="E97" s="3" t="str">
        <f>IFERROR(INDEX(Input!$E$2:$E$501,MATCH(96,Input!$J$2:$J$501,0)),"")</f>
        <v/>
      </c>
      <c r="F97" t="str">
        <f>IFERROR(INDEX(Input!$F$2:$F$501,MATCH(96,Input!$J$2:$J$501,0)),"")</f>
        <v/>
      </c>
      <c r="G97" s="3" t="str">
        <f>IFERROR(INDEX(Input!$G$2:$G$501,MATCH(96,Input!$J$2:$J$501,0)),"")</f>
        <v/>
      </c>
      <c r="H97" t="str">
        <f>IFERROR(INDEX(Input!$H$2:$H$501,MATCH(96,Input!$J$2:$J$501,0)),"")</f>
        <v/>
      </c>
    </row>
    <row r="98" spans="1:8" x14ac:dyDescent="0.35">
      <c r="A98" t="str">
        <f>IFERROR(INDEX(Input!$A$2:$A$501,MATCH(97,Input!$J$2:$J$501,0)),"")</f>
        <v/>
      </c>
      <c r="B98" t="str">
        <f>IFERROR(INDEX(Input!$B$2:$B$501,MATCH(97,Input!$J$2:$J$501,0)),"")</f>
        <v/>
      </c>
      <c r="C98" t="str">
        <f>IFERROR(INDEX(Input!$C$2:$C$501,MATCH(97,Input!$J$2:$J$501,0)),"")</f>
        <v/>
      </c>
      <c r="D98" t="str">
        <f>IFERROR(INDEX(Input!$D$2:$D$501,MATCH(97,Input!$J$2:$J$501,0)),"")</f>
        <v/>
      </c>
      <c r="E98" s="3" t="str">
        <f>IFERROR(INDEX(Input!$E$2:$E$501,MATCH(97,Input!$J$2:$J$501,0)),"")</f>
        <v/>
      </c>
      <c r="F98" t="str">
        <f>IFERROR(INDEX(Input!$F$2:$F$501,MATCH(97,Input!$J$2:$J$501,0)),"")</f>
        <v/>
      </c>
      <c r="G98" s="3" t="str">
        <f>IFERROR(INDEX(Input!$G$2:$G$501,MATCH(97,Input!$J$2:$J$501,0)),"")</f>
        <v/>
      </c>
      <c r="H98" t="str">
        <f>IFERROR(INDEX(Input!$H$2:$H$501,MATCH(97,Input!$J$2:$J$501,0)),"")</f>
        <v/>
      </c>
    </row>
    <row r="99" spans="1:8" x14ac:dyDescent="0.35">
      <c r="A99" t="str">
        <f>IFERROR(INDEX(Input!$A$2:$A$501,MATCH(98,Input!$J$2:$J$501,0)),"")</f>
        <v/>
      </c>
      <c r="B99" t="str">
        <f>IFERROR(INDEX(Input!$B$2:$B$501,MATCH(98,Input!$J$2:$J$501,0)),"")</f>
        <v/>
      </c>
      <c r="C99" t="str">
        <f>IFERROR(INDEX(Input!$C$2:$C$501,MATCH(98,Input!$J$2:$J$501,0)),"")</f>
        <v/>
      </c>
      <c r="D99" t="str">
        <f>IFERROR(INDEX(Input!$D$2:$D$501,MATCH(98,Input!$J$2:$J$501,0)),"")</f>
        <v/>
      </c>
      <c r="E99" s="3" t="str">
        <f>IFERROR(INDEX(Input!$E$2:$E$501,MATCH(98,Input!$J$2:$J$501,0)),"")</f>
        <v/>
      </c>
      <c r="F99" t="str">
        <f>IFERROR(INDEX(Input!$F$2:$F$501,MATCH(98,Input!$J$2:$J$501,0)),"")</f>
        <v/>
      </c>
      <c r="G99" s="3" t="str">
        <f>IFERROR(INDEX(Input!$G$2:$G$501,MATCH(98,Input!$J$2:$J$501,0)),"")</f>
        <v/>
      </c>
      <c r="H99" t="str">
        <f>IFERROR(INDEX(Input!$H$2:$H$501,MATCH(98,Input!$J$2:$J$501,0)),"")</f>
        <v/>
      </c>
    </row>
    <row r="100" spans="1:8" x14ac:dyDescent="0.35">
      <c r="A100" t="str">
        <f>IFERROR(INDEX(Input!$A$2:$A$501,MATCH(99,Input!$J$2:$J$501,0)),"")</f>
        <v/>
      </c>
      <c r="B100" t="str">
        <f>IFERROR(INDEX(Input!$B$2:$B$501,MATCH(99,Input!$J$2:$J$501,0)),"")</f>
        <v/>
      </c>
      <c r="C100" t="str">
        <f>IFERROR(INDEX(Input!$C$2:$C$501,MATCH(99,Input!$J$2:$J$501,0)),"")</f>
        <v/>
      </c>
      <c r="D100" t="str">
        <f>IFERROR(INDEX(Input!$D$2:$D$501,MATCH(99,Input!$J$2:$J$501,0)),"")</f>
        <v/>
      </c>
      <c r="E100" s="3" t="str">
        <f>IFERROR(INDEX(Input!$E$2:$E$501,MATCH(99,Input!$J$2:$J$501,0)),"")</f>
        <v/>
      </c>
      <c r="F100" t="str">
        <f>IFERROR(INDEX(Input!$F$2:$F$501,MATCH(99,Input!$J$2:$J$501,0)),"")</f>
        <v/>
      </c>
      <c r="G100" s="3" t="str">
        <f>IFERROR(INDEX(Input!$G$2:$G$501,MATCH(99,Input!$J$2:$J$501,0)),"")</f>
        <v/>
      </c>
      <c r="H100" t="str">
        <f>IFERROR(INDEX(Input!$H$2:$H$501,MATCH(99,Input!$J$2:$J$501,0)),"")</f>
        <v/>
      </c>
    </row>
    <row r="101" spans="1:8" x14ac:dyDescent="0.35">
      <c r="A101" t="str">
        <f>IFERROR(INDEX(Input!$A$2:$A$501,MATCH(100,Input!$J$2:$J$501,0)),"")</f>
        <v/>
      </c>
      <c r="B101" t="str">
        <f>IFERROR(INDEX(Input!$B$2:$B$501,MATCH(100,Input!$J$2:$J$501,0)),"")</f>
        <v/>
      </c>
      <c r="C101" t="str">
        <f>IFERROR(INDEX(Input!$C$2:$C$501,MATCH(100,Input!$J$2:$J$501,0)),"")</f>
        <v/>
      </c>
      <c r="D101" t="str">
        <f>IFERROR(INDEX(Input!$D$2:$D$501,MATCH(100,Input!$J$2:$J$501,0)),"")</f>
        <v/>
      </c>
      <c r="E101" s="3" t="str">
        <f>IFERROR(INDEX(Input!$E$2:$E$501,MATCH(100,Input!$J$2:$J$501,0)),"")</f>
        <v/>
      </c>
      <c r="F101" t="str">
        <f>IFERROR(INDEX(Input!$F$2:$F$501,MATCH(100,Input!$J$2:$J$501,0)),"")</f>
        <v/>
      </c>
      <c r="G101" s="3" t="str">
        <f>IFERROR(INDEX(Input!$G$2:$G$501,MATCH(100,Input!$J$2:$J$501,0)),"")</f>
        <v/>
      </c>
      <c r="H101" t="str">
        <f>IFERROR(INDEX(Input!$H$2:$H$501,MATCH(100,Input!$J$2:$J$501,0)),"")</f>
        <v/>
      </c>
    </row>
    <row r="102" spans="1:8" x14ac:dyDescent="0.35">
      <c r="A102" t="str">
        <f>IFERROR(INDEX(Input!$A$2:$A$501,MATCH(101,Input!$J$2:$J$501,0)),"")</f>
        <v/>
      </c>
      <c r="B102" t="str">
        <f>IFERROR(INDEX(Input!$B$2:$B$501,MATCH(101,Input!$J$2:$J$501,0)),"")</f>
        <v/>
      </c>
      <c r="C102" t="str">
        <f>IFERROR(INDEX(Input!$C$2:$C$501,MATCH(101,Input!$J$2:$J$501,0)),"")</f>
        <v/>
      </c>
      <c r="D102" t="str">
        <f>IFERROR(INDEX(Input!$D$2:$D$501,MATCH(101,Input!$J$2:$J$501,0)),"")</f>
        <v/>
      </c>
      <c r="E102" s="3" t="str">
        <f>IFERROR(INDEX(Input!$E$2:$E$501,MATCH(101,Input!$J$2:$J$501,0)),"")</f>
        <v/>
      </c>
      <c r="F102" t="str">
        <f>IFERROR(INDEX(Input!$F$2:$F$501,MATCH(101,Input!$J$2:$J$501,0)),"")</f>
        <v/>
      </c>
      <c r="G102" s="3" t="str">
        <f>IFERROR(INDEX(Input!$G$2:$G$501,MATCH(101,Input!$J$2:$J$501,0)),"")</f>
        <v/>
      </c>
      <c r="H102" t="str">
        <f>IFERROR(INDEX(Input!$H$2:$H$501,MATCH(101,Input!$J$2:$J$501,0)),"")</f>
        <v/>
      </c>
    </row>
    <row r="103" spans="1:8" x14ac:dyDescent="0.35">
      <c r="A103" t="str">
        <f>IFERROR(INDEX(Input!$A$2:$A$501,MATCH(102,Input!$J$2:$J$501,0)),"")</f>
        <v/>
      </c>
      <c r="B103" t="str">
        <f>IFERROR(INDEX(Input!$B$2:$B$501,MATCH(102,Input!$J$2:$J$501,0)),"")</f>
        <v/>
      </c>
      <c r="C103" t="str">
        <f>IFERROR(INDEX(Input!$C$2:$C$501,MATCH(102,Input!$J$2:$J$501,0)),"")</f>
        <v/>
      </c>
      <c r="D103" t="str">
        <f>IFERROR(INDEX(Input!$D$2:$D$501,MATCH(102,Input!$J$2:$J$501,0)),"")</f>
        <v/>
      </c>
      <c r="E103" s="3" t="str">
        <f>IFERROR(INDEX(Input!$E$2:$E$501,MATCH(102,Input!$J$2:$J$501,0)),"")</f>
        <v/>
      </c>
      <c r="F103" t="str">
        <f>IFERROR(INDEX(Input!$F$2:$F$501,MATCH(102,Input!$J$2:$J$501,0)),"")</f>
        <v/>
      </c>
      <c r="G103" s="3" t="str">
        <f>IFERROR(INDEX(Input!$G$2:$G$501,MATCH(102,Input!$J$2:$J$501,0)),"")</f>
        <v/>
      </c>
      <c r="H103" t="str">
        <f>IFERROR(INDEX(Input!$H$2:$H$501,MATCH(102,Input!$J$2:$J$501,0)),"")</f>
        <v/>
      </c>
    </row>
    <row r="104" spans="1:8" x14ac:dyDescent="0.35">
      <c r="A104" t="str">
        <f>IFERROR(INDEX(Input!$A$2:$A$501,MATCH(103,Input!$J$2:$J$501,0)),"")</f>
        <v/>
      </c>
      <c r="B104" t="str">
        <f>IFERROR(INDEX(Input!$B$2:$B$501,MATCH(103,Input!$J$2:$J$501,0)),"")</f>
        <v/>
      </c>
      <c r="C104" t="str">
        <f>IFERROR(INDEX(Input!$C$2:$C$501,MATCH(103,Input!$J$2:$J$501,0)),"")</f>
        <v/>
      </c>
      <c r="D104" t="str">
        <f>IFERROR(INDEX(Input!$D$2:$D$501,MATCH(103,Input!$J$2:$J$501,0)),"")</f>
        <v/>
      </c>
      <c r="E104" s="3" t="str">
        <f>IFERROR(INDEX(Input!$E$2:$E$501,MATCH(103,Input!$J$2:$J$501,0)),"")</f>
        <v/>
      </c>
      <c r="F104" t="str">
        <f>IFERROR(INDEX(Input!$F$2:$F$501,MATCH(103,Input!$J$2:$J$501,0)),"")</f>
        <v/>
      </c>
      <c r="G104" s="3" t="str">
        <f>IFERROR(INDEX(Input!$G$2:$G$501,MATCH(103,Input!$J$2:$J$501,0)),"")</f>
        <v/>
      </c>
      <c r="H104" t="str">
        <f>IFERROR(INDEX(Input!$H$2:$H$501,MATCH(103,Input!$J$2:$J$501,0)),"")</f>
        <v/>
      </c>
    </row>
    <row r="105" spans="1:8" x14ac:dyDescent="0.35">
      <c r="A105" t="str">
        <f>IFERROR(INDEX(Input!$A$2:$A$501,MATCH(104,Input!$J$2:$J$501,0)),"")</f>
        <v/>
      </c>
      <c r="B105" t="str">
        <f>IFERROR(INDEX(Input!$B$2:$B$501,MATCH(104,Input!$J$2:$J$501,0)),"")</f>
        <v/>
      </c>
      <c r="C105" t="str">
        <f>IFERROR(INDEX(Input!$C$2:$C$501,MATCH(104,Input!$J$2:$J$501,0)),"")</f>
        <v/>
      </c>
      <c r="D105" t="str">
        <f>IFERROR(INDEX(Input!$D$2:$D$501,MATCH(104,Input!$J$2:$J$501,0)),"")</f>
        <v/>
      </c>
      <c r="E105" s="3" t="str">
        <f>IFERROR(INDEX(Input!$E$2:$E$501,MATCH(104,Input!$J$2:$J$501,0)),"")</f>
        <v/>
      </c>
      <c r="F105" t="str">
        <f>IFERROR(INDEX(Input!$F$2:$F$501,MATCH(104,Input!$J$2:$J$501,0)),"")</f>
        <v/>
      </c>
      <c r="G105" s="3" t="str">
        <f>IFERROR(INDEX(Input!$G$2:$G$501,MATCH(104,Input!$J$2:$J$501,0)),"")</f>
        <v/>
      </c>
      <c r="H105" t="str">
        <f>IFERROR(INDEX(Input!$H$2:$H$501,MATCH(104,Input!$J$2:$J$501,0)),"")</f>
        <v/>
      </c>
    </row>
    <row r="106" spans="1:8" x14ac:dyDescent="0.35">
      <c r="A106" t="str">
        <f>IFERROR(INDEX(Input!$A$2:$A$501,MATCH(105,Input!$J$2:$J$501,0)),"")</f>
        <v/>
      </c>
      <c r="B106" t="str">
        <f>IFERROR(INDEX(Input!$B$2:$B$501,MATCH(105,Input!$J$2:$J$501,0)),"")</f>
        <v/>
      </c>
      <c r="C106" t="str">
        <f>IFERROR(INDEX(Input!$C$2:$C$501,MATCH(105,Input!$J$2:$J$501,0)),"")</f>
        <v/>
      </c>
      <c r="D106" t="str">
        <f>IFERROR(INDEX(Input!$D$2:$D$501,MATCH(105,Input!$J$2:$J$501,0)),"")</f>
        <v/>
      </c>
      <c r="E106" s="3" t="str">
        <f>IFERROR(INDEX(Input!$E$2:$E$501,MATCH(105,Input!$J$2:$J$501,0)),"")</f>
        <v/>
      </c>
      <c r="F106" t="str">
        <f>IFERROR(INDEX(Input!$F$2:$F$501,MATCH(105,Input!$J$2:$J$501,0)),"")</f>
        <v/>
      </c>
      <c r="G106" s="3" t="str">
        <f>IFERROR(INDEX(Input!$G$2:$G$501,MATCH(105,Input!$J$2:$J$501,0)),"")</f>
        <v/>
      </c>
      <c r="H106" t="str">
        <f>IFERROR(INDEX(Input!$H$2:$H$501,MATCH(105,Input!$J$2:$J$501,0)),"")</f>
        <v/>
      </c>
    </row>
    <row r="107" spans="1:8" x14ac:dyDescent="0.35">
      <c r="A107" t="str">
        <f>IFERROR(INDEX(Input!$A$2:$A$501,MATCH(106,Input!$J$2:$J$501,0)),"")</f>
        <v/>
      </c>
      <c r="B107" t="str">
        <f>IFERROR(INDEX(Input!$B$2:$B$501,MATCH(106,Input!$J$2:$J$501,0)),"")</f>
        <v/>
      </c>
      <c r="C107" t="str">
        <f>IFERROR(INDEX(Input!$C$2:$C$501,MATCH(106,Input!$J$2:$J$501,0)),"")</f>
        <v/>
      </c>
      <c r="D107" t="str">
        <f>IFERROR(INDEX(Input!$D$2:$D$501,MATCH(106,Input!$J$2:$J$501,0)),"")</f>
        <v/>
      </c>
      <c r="E107" s="3" t="str">
        <f>IFERROR(INDEX(Input!$E$2:$E$501,MATCH(106,Input!$J$2:$J$501,0)),"")</f>
        <v/>
      </c>
      <c r="F107" t="str">
        <f>IFERROR(INDEX(Input!$F$2:$F$501,MATCH(106,Input!$J$2:$J$501,0)),"")</f>
        <v/>
      </c>
      <c r="G107" s="3" t="str">
        <f>IFERROR(INDEX(Input!$G$2:$G$501,MATCH(106,Input!$J$2:$J$501,0)),"")</f>
        <v/>
      </c>
      <c r="H107" t="str">
        <f>IFERROR(INDEX(Input!$H$2:$H$501,MATCH(106,Input!$J$2:$J$501,0)),"")</f>
        <v/>
      </c>
    </row>
    <row r="108" spans="1:8" x14ac:dyDescent="0.35">
      <c r="A108" t="str">
        <f>IFERROR(INDEX(Input!$A$2:$A$501,MATCH(107,Input!$J$2:$J$501,0)),"")</f>
        <v/>
      </c>
      <c r="B108" t="str">
        <f>IFERROR(INDEX(Input!$B$2:$B$501,MATCH(107,Input!$J$2:$J$501,0)),"")</f>
        <v/>
      </c>
      <c r="C108" t="str">
        <f>IFERROR(INDEX(Input!$C$2:$C$501,MATCH(107,Input!$J$2:$J$501,0)),"")</f>
        <v/>
      </c>
      <c r="D108" t="str">
        <f>IFERROR(INDEX(Input!$D$2:$D$501,MATCH(107,Input!$J$2:$J$501,0)),"")</f>
        <v/>
      </c>
      <c r="E108" s="3" t="str">
        <f>IFERROR(INDEX(Input!$E$2:$E$501,MATCH(107,Input!$J$2:$J$501,0)),"")</f>
        <v/>
      </c>
      <c r="F108" t="str">
        <f>IFERROR(INDEX(Input!$F$2:$F$501,MATCH(107,Input!$J$2:$J$501,0)),"")</f>
        <v/>
      </c>
      <c r="G108" s="3" t="str">
        <f>IFERROR(INDEX(Input!$G$2:$G$501,MATCH(107,Input!$J$2:$J$501,0)),"")</f>
        <v/>
      </c>
      <c r="H108" t="str">
        <f>IFERROR(INDEX(Input!$H$2:$H$501,MATCH(107,Input!$J$2:$J$501,0)),"")</f>
        <v/>
      </c>
    </row>
    <row r="109" spans="1:8" x14ac:dyDescent="0.35">
      <c r="A109" t="str">
        <f>IFERROR(INDEX(Input!$A$2:$A$501,MATCH(108,Input!$J$2:$J$501,0)),"")</f>
        <v/>
      </c>
      <c r="B109" t="str">
        <f>IFERROR(INDEX(Input!$B$2:$B$501,MATCH(108,Input!$J$2:$J$501,0)),"")</f>
        <v/>
      </c>
      <c r="C109" t="str">
        <f>IFERROR(INDEX(Input!$C$2:$C$501,MATCH(108,Input!$J$2:$J$501,0)),"")</f>
        <v/>
      </c>
      <c r="D109" t="str">
        <f>IFERROR(INDEX(Input!$D$2:$D$501,MATCH(108,Input!$J$2:$J$501,0)),"")</f>
        <v/>
      </c>
      <c r="E109" s="3" t="str">
        <f>IFERROR(INDEX(Input!$E$2:$E$501,MATCH(108,Input!$J$2:$J$501,0)),"")</f>
        <v/>
      </c>
      <c r="F109" t="str">
        <f>IFERROR(INDEX(Input!$F$2:$F$501,MATCH(108,Input!$J$2:$J$501,0)),"")</f>
        <v/>
      </c>
      <c r="G109" s="3" t="str">
        <f>IFERROR(INDEX(Input!$G$2:$G$501,MATCH(108,Input!$J$2:$J$501,0)),"")</f>
        <v/>
      </c>
      <c r="H109" t="str">
        <f>IFERROR(INDEX(Input!$H$2:$H$501,MATCH(108,Input!$J$2:$J$501,0)),"")</f>
        <v/>
      </c>
    </row>
    <row r="110" spans="1:8" x14ac:dyDescent="0.35">
      <c r="A110" t="str">
        <f>IFERROR(INDEX(Input!$A$2:$A$501,MATCH(109,Input!$J$2:$J$501,0)),"")</f>
        <v/>
      </c>
      <c r="B110" t="str">
        <f>IFERROR(INDEX(Input!$B$2:$B$501,MATCH(109,Input!$J$2:$J$501,0)),"")</f>
        <v/>
      </c>
      <c r="C110" t="str">
        <f>IFERROR(INDEX(Input!$C$2:$C$501,MATCH(109,Input!$J$2:$J$501,0)),"")</f>
        <v/>
      </c>
      <c r="D110" t="str">
        <f>IFERROR(INDEX(Input!$D$2:$D$501,MATCH(109,Input!$J$2:$J$501,0)),"")</f>
        <v/>
      </c>
      <c r="E110" s="3" t="str">
        <f>IFERROR(INDEX(Input!$E$2:$E$501,MATCH(109,Input!$J$2:$J$501,0)),"")</f>
        <v/>
      </c>
      <c r="F110" t="str">
        <f>IFERROR(INDEX(Input!$F$2:$F$501,MATCH(109,Input!$J$2:$J$501,0)),"")</f>
        <v/>
      </c>
      <c r="G110" s="3" t="str">
        <f>IFERROR(INDEX(Input!$G$2:$G$501,MATCH(109,Input!$J$2:$J$501,0)),"")</f>
        <v/>
      </c>
      <c r="H110" t="str">
        <f>IFERROR(INDEX(Input!$H$2:$H$501,MATCH(109,Input!$J$2:$J$501,0)),"")</f>
        <v/>
      </c>
    </row>
    <row r="111" spans="1:8" x14ac:dyDescent="0.35">
      <c r="A111" t="str">
        <f>IFERROR(INDEX(Input!$A$2:$A$501,MATCH(110,Input!$J$2:$J$501,0)),"")</f>
        <v/>
      </c>
      <c r="B111" t="str">
        <f>IFERROR(INDEX(Input!$B$2:$B$501,MATCH(110,Input!$J$2:$J$501,0)),"")</f>
        <v/>
      </c>
      <c r="C111" t="str">
        <f>IFERROR(INDEX(Input!$C$2:$C$501,MATCH(110,Input!$J$2:$J$501,0)),"")</f>
        <v/>
      </c>
      <c r="D111" t="str">
        <f>IFERROR(INDEX(Input!$D$2:$D$501,MATCH(110,Input!$J$2:$J$501,0)),"")</f>
        <v/>
      </c>
      <c r="E111" s="3" t="str">
        <f>IFERROR(INDEX(Input!$E$2:$E$501,MATCH(110,Input!$J$2:$J$501,0)),"")</f>
        <v/>
      </c>
      <c r="F111" t="str">
        <f>IFERROR(INDEX(Input!$F$2:$F$501,MATCH(110,Input!$J$2:$J$501,0)),"")</f>
        <v/>
      </c>
      <c r="G111" s="3" t="str">
        <f>IFERROR(INDEX(Input!$G$2:$G$501,MATCH(110,Input!$J$2:$J$501,0)),"")</f>
        <v/>
      </c>
      <c r="H111" t="str">
        <f>IFERROR(INDEX(Input!$H$2:$H$501,MATCH(110,Input!$J$2:$J$501,0)),"")</f>
        <v/>
      </c>
    </row>
    <row r="112" spans="1:8" x14ac:dyDescent="0.35">
      <c r="A112" t="str">
        <f>IFERROR(INDEX(Input!$A$2:$A$501,MATCH(111,Input!$J$2:$J$501,0)),"")</f>
        <v/>
      </c>
      <c r="B112" t="str">
        <f>IFERROR(INDEX(Input!$B$2:$B$501,MATCH(111,Input!$J$2:$J$501,0)),"")</f>
        <v/>
      </c>
      <c r="C112" t="str">
        <f>IFERROR(INDEX(Input!$C$2:$C$501,MATCH(111,Input!$J$2:$J$501,0)),"")</f>
        <v/>
      </c>
      <c r="D112" t="str">
        <f>IFERROR(INDEX(Input!$D$2:$D$501,MATCH(111,Input!$J$2:$J$501,0)),"")</f>
        <v/>
      </c>
      <c r="E112" s="3" t="str">
        <f>IFERROR(INDEX(Input!$E$2:$E$501,MATCH(111,Input!$J$2:$J$501,0)),"")</f>
        <v/>
      </c>
      <c r="F112" t="str">
        <f>IFERROR(INDEX(Input!$F$2:$F$501,MATCH(111,Input!$J$2:$J$501,0)),"")</f>
        <v/>
      </c>
      <c r="G112" s="3" t="str">
        <f>IFERROR(INDEX(Input!$G$2:$G$501,MATCH(111,Input!$J$2:$J$501,0)),"")</f>
        <v/>
      </c>
      <c r="H112" t="str">
        <f>IFERROR(INDEX(Input!$H$2:$H$501,MATCH(111,Input!$J$2:$J$501,0)),"")</f>
        <v/>
      </c>
    </row>
    <row r="113" spans="1:8" x14ac:dyDescent="0.35">
      <c r="A113" t="str">
        <f>IFERROR(INDEX(Input!$A$2:$A$501,MATCH(112,Input!$J$2:$J$501,0)),"")</f>
        <v/>
      </c>
      <c r="B113" t="str">
        <f>IFERROR(INDEX(Input!$B$2:$B$501,MATCH(112,Input!$J$2:$J$501,0)),"")</f>
        <v/>
      </c>
      <c r="C113" t="str">
        <f>IFERROR(INDEX(Input!$C$2:$C$501,MATCH(112,Input!$J$2:$J$501,0)),"")</f>
        <v/>
      </c>
      <c r="D113" t="str">
        <f>IFERROR(INDEX(Input!$D$2:$D$501,MATCH(112,Input!$J$2:$J$501,0)),"")</f>
        <v/>
      </c>
      <c r="E113" s="3" t="str">
        <f>IFERROR(INDEX(Input!$E$2:$E$501,MATCH(112,Input!$J$2:$J$501,0)),"")</f>
        <v/>
      </c>
      <c r="F113" t="str">
        <f>IFERROR(INDEX(Input!$F$2:$F$501,MATCH(112,Input!$J$2:$J$501,0)),"")</f>
        <v/>
      </c>
      <c r="G113" s="3" t="str">
        <f>IFERROR(INDEX(Input!$G$2:$G$501,MATCH(112,Input!$J$2:$J$501,0)),"")</f>
        <v/>
      </c>
      <c r="H113" t="str">
        <f>IFERROR(INDEX(Input!$H$2:$H$501,MATCH(112,Input!$J$2:$J$501,0)),"")</f>
        <v/>
      </c>
    </row>
    <row r="114" spans="1:8" x14ac:dyDescent="0.35">
      <c r="A114" t="str">
        <f>IFERROR(INDEX(Input!$A$2:$A$501,MATCH(113,Input!$J$2:$J$501,0)),"")</f>
        <v/>
      </c>
      <c r="B114" t="str">
        <f>IFERROR(INDEX(Input!$B$2:$B$501,MATCH(113,Input!$J$2:$J$501,0)),"")</f>
        <v/>
      </c>
      <c r="C114" t="str">
        <f>IFERROR(INDEX(Input!$C$2:$C$501,MATCH(113,Input!$J$2:$J$501,0)),"")</f>
        <v/>
      </c>
      <c r="D114" t="str">
        <f>IFERROR(INDEX(Input!$D$2:$D$501,MATCH(113,Input!$J$2:$J$501,0)),"")</f>
        <v/>
      </c>
      <c r="E114" s="3" t="str">
        <f>IFERROR(INDEX(Input!$E$2:$E$501,MATCH(113,Input!$J$2:$J$501,0)),"")</f>
        <v/>
      </c>
      <c r="F114" t="str">
        <f>IFERROR(INDEX(Input!$F$2:$F$501,MATCH(113,Input!$J$2:$J$501,0)),"")</f>
        <v/>
      </c>
      <c r="G114" s="3" t="str">
        <f>IFERROR(INDEX(Input!$G$2:$G$501,MATCH(113,Input!$J$2:$J$501,0)),"")</f>
        <v/>
      </c>
      <c r="H114" t="str">
        <f>IFERROR(INDEX(Input!$H$2:$H$501,MATCH(113,Input!$J$2:$J$501,0)),"")</f>
        <v/>
      </c>
    </row>
    <row r="115" spans="1:8" x14ac:dyDescent="0.35">
      <c r="A115" t="str">
        <f>IFERROR(INDEX(Input!$A$2:$A$501,MATCH(114,Input!$J$2:$J$501,0)),"")</f>
        <v/>
      </c>
      <c r="B115" t="str">
        <f>IFERROR(INDEX(Input!$B$2:$B$501,MATCH(114,Input!$J$2:$J$501,0)),"")</f>
        <v/>
      </c>
      <c r="C115" t="str">
        <f>IFERROR(INDEX(Input!$C$2:$C$501,MATCH(114,Input!$J$2:$J$501,0)),"")</f>
        <v/>
      </c>
      <c r="D115" t="str">
        <f>IFERROR(INDEX(Input!$D$2:$D$501,MATCH(114,Input!$J$2:$J$501,0)),"")</f>
        <v/>
      </c>
      <c r="E115" s="3" t="str">
        <f>IFERROR(INDEX(Input!$E$2:$E$501,MATCH(114,Input!$J$2:$J$501,0)),"")</f>
        <v/>
      </c>
      <c r="F115" t="str">
        <f>IFERROR(INDEX(Input!$F$2:$F$501,MATCH(114,Input!$J$2:$J$501,0)),"")</f>
        <v/>
      </c>
      <c r="G115" s="3" t="str">
        <f>IFERROR(INDEX(Input!$G$2:$G$501,MATCH(114,Input!$J$2:$J$501,0)),"")</f>
        <v/>
      </c>
      <c r="H115" t="str">
        <f>IFERROR(INDEX(Input!$H$2:$H$501,MATCH(114,Input!$J$2:$J$501,0)),"")</f>
        <v/>
      </c>
    </row>
    <row r="116" spans="1:8" x14ac:dyDescent="0.35">
      <c r="A116" t="str">
        <f>IFERROR(INDEX(Input!$A$2:$A$501,MATCH(115,Input!$J$2:$J$501,0)),"")</f>
        <v/>
      </c>
      <c r="B116" t="str">
        <f>IFERROR(INDEX(Input!$B$2:$B$501,MATCH(115,Input!$J$2:$J$501,0)),"")</f>
        <v/>
      </c>
      <c r="C116" t="str">
        <f>IFERROR(INDEX(Input!$C$2:$C$501,MATCH(115,Input!$J$2:$J$501,0)),"")</f>
        <v/>
      </c>
      <c r="D116" t="str">
        <f>IFERROR(INDEX(Input!$D$2:$D$501,MATCH(115,Input!$J$2:$J$501,0)),"")</f>
        <v/>
      </c>
      <c r="E116" s="3" t="str">
        <f>IFERROR(INDEX(Input!$E$2:$E$501,MATCH(115,Input!$J$2:$J$501,0)),"")</f>
        <v/>
      </c>
      <c r="F116" t="str">
        <f>IFERROR(INDEX(Input!$F$2:$F$501,MATCH(115,Input!$J$2:$J$501,0)),"")</f>
        <v/>
      </c>
      <c r="G116" s="3" t="str">
        <f>IFERROR(INDEX(Input!$G$2:$G$501,MATCH(115,Input!$J$2:$J$501,0)),"")</f>
        <v/>
      </c>
      <c r="H116" t="str">
        <f>IFERROR(INDEX(Input!$H$2:$H$501,MATCH(115,Input!$J$2:$J$501,0)),"")</f>
        <v/>
      </c>
    </row>
    <row r="117" spans="1:8" x14ac:dyDescent="0.35">
      <c r="A117" t="str">
        <f>IFERROR(INDEX(Input!$A$2:$A$501,MATCH(116,Input!$J$2:$J$501,0)),"")</f>
        <v/>
      </c>
      <c r="B117" t="str">
        <f>IFERROR(INDEX(Input!$B$2:$B$501,MATCH(116,Input!$J$2:$J$501,0)),"")</f>
        <v/>
      </c>
      <c r="C117" t="str">
        <f>IFERROR(INDEX(Input!$C$2:$C$501,MATCH(116,Input!$J$2:$J$501,0)),"")</f>
        <v/>
      </c>
      <c r="D117" t="str">
        <f>IFERROR(INDEX(Input!$D$2:$D$501,MATCH(116,Input!$J$2:$J$501,0)),"")</f>
        <v/>
      </c>
      <c r="E117" s="3" t="str">
        <f>IFERROR(INDEX(Input!$E$2:$E$501,MATCH(116,Input!$J$2:$J$501,0)),"")</f>
        <v/>
      </c>
      <c r="F117" t="str">
        <f>IFERROR(INDEX(Input!$F$2:$F$501,MATCH(116,Input!$J$2:$J$501,0)),"")</f>
        <v/>
      </c>
      <c r="G117" s="3" t="str">
        <f>IFERROR(INDEX(Input!$G$2:$G$501,MATCH(116,Input!$J$2:$J$501,0)),"")</f>
        <v/>
      </c>
      <c r="H117" t="str">
        <f>IFERROR(INDEX(Input!$H$2:$H$501,MATCH(116,Input!$J$2:$J$501,0)),"")</f>
        <v/>
      </c>
    </row>
    <row r="118" spans="1:8" x14ac:dyDescent="0.35">
      <c r="A118" t="str">
        <f>IFERROR(INDEX(Input!$A$2:$A$501,MATCH(117,Input!$J$2:$J$501,0)),"")</f>
        <v/>
      </c>
      <c r="B118" t="str">
        <f>IFERROR(INDEX(Input!$B$2:$B$501,MATCH(117,Input!$J$2:$J$501,0)),"")</f>
        <v/>
      </c>
      <c r="C118" t="str">
        <f>IFERROR(INDEX(Input!$C$2:$C$501,MATCH(117,Input!$J$2:$J$501,0)),"")</f>
        <v/>
      </c>
      <c r="D118" t="str">
        <f>IFERROR(INDEX(Input!$D$2:$D$501,MATCH(117,Input!$J$2:$J$501,0)),"")</f>
        <v/>
      </c>
      <c r="E118" s="3" t="str">
        <f>IFERROR(INDEX(Input!$E$2:$E$501,MATCH(117,Input!$J$2:$J$501,0)),"")</f>
        <v/>
      </c>
      <c r="F118" t="str">
        <f>IFERROR(INDEX(Input!$F$2:$F$501,MATCH(117,Input!$J$2:$J$501,0)),"")</f>
        <v/>
      </c>
      <c r="G118" s="3" t="str">
        <f>IFERROR(INDEX(Input!$G$2:$G$501,MATCH(117,Input!$J$2:$J$501,0)),"")</f>
        <v/>
      </c>
      <c r="H118" t="str">
        <f>IFERROR(INDEX(Input!$H$2:$H$501,MATCH(117,Input!$J$2:$J$501,0)),"")</f>
        <v/>
      </c>
    </row>
    <row r="119" spans="1:8" x14ac:dyDescent="0.35">
      <c r="A119" t="str">
        <f>IFERROR(INDEX(Input!$A$2:$A$501,MATCH(118,Input!$J$2:$J$501,0)),"")</f>
        <v/>
      </c>
      <c r="B119" t="str">
        <f>IFERROR(INDEX(Input!$B$2:$B$501,MATCH(118,Input!$J$2:$J$501,0)),"")</f>
        <v/>
      </c>
      <c r="C119" t="str">
        <f>IFERROR(INDEX(Input!$C$2:$C$501,MATCH(118,Input!$J$2:$J$501,0)),"")</f>
        <v/>
      </c>
      <c r="D119" t="str">
        <f>IFERROR(INDEX(Input!$D$2:$D$501,MATCH(118,Input!$J$2:$J$501,0)),"")</f>
        <v/>
      </c>
      <c r="E119" s="3" t="str">
        <f>IFERROR(INDEX(Input!$E$2:$E$501,MATCH(118,Input!$J$2:$J$501,0)),"")</f>
        <v/>
      </c>
      <c r="F119" t="str">
        <f>IFERROR(INDEX(Input!$F$2:$F$501,MATCH(118,Input!$J$2:$J$501,0)),"")</f>
        <v/>
      </c>
      <c r="G119" s="3" t="str">
        <f>IFERROR(INDEX(Input!$G$2:$G$501,MATCH(118,Input!$J$2:$J$501,0)),"")</f>
        <v/>
      </c>
      <c r="H119" t="str">
        <f>IFERROR(INDEX(Input!$H$2:$H$501,MATCH(118,Input!$J$2:$J$501,0)),"")</f>
        <v/>
      </c>
    </row>
    <row r="120" spans="1:8" x14ac:dyDescent="0.35">
      <c r="A120" t="str">
        <f>IFERROR(INDEX(Input!$A$2:$A$501,MATCH(119,Input!$J$2:$J$501,0)),"")</f>
        <v/>
      </c>
      <c r="B120" t="str">
        <f>IFERROR(INDEX(Input!$B$2:$B$501,MATCH(119,Input!$J$2:$J$501,0)),"")</f>
        <v/>
      </c>
      <c r="C120" t="str">
        <f>IFERROR(INDEX(Input!$C$2:$C$501,MATCH(119,Input!$J$2:$J$501,0)),"")</f>
        <v/>
      </c>
      <c r="D120" t="str">
        <f>IFERROR(INDEX(Input!$D$2:$D$501,MATCH(119,Input!$J$2:$J$501,0)),"")</f>
        <v/>
      </c>
      <c r="E120" s="3" t="str">
        <f>IFERROR(INDEX(Input!$E$2:$E$501,MATCH(119,Input!$J$2:$J$501,0)),"")</f>
        <v/>
      </c>
      <c r="F120" t="str">
        <f>IFERROR(INDEX(Input!$F$2:$F$501,MATCH(119,Input!$J$2:$J$501,0)),"")</f>
        <v/>
      </c>
      <c r="G120" s="3" t="str">
        <f>IFERROR(INDEX(Input!$G$2:$G$501,MATCH(119,Input!$J$2:$J$501,0)),"")</f>
        <v/>
      </c>
      <c r="H120" t="str">
        <f>IFERROR(INDEX(Input!$H$2:$H$501,MATCH(119,Input!$J$2:$J$501,0)),"")</f>
        <v/>
      </c>
    </row>
    <row r="121" spans="1:8" x14ac:dyDescent="0.35">
      <c r="A121" t="str">
        <f>IFERROR(INDEX(Input!$A$2:$A$501,MATCH(120,Input!$J$2:$J$501,0)),"")</f>
        <v/>
      </c>
      <c r="B121" t="str">
        <f>IFERROR(INDEX(Input!$B$2:$B$501,MATCH(120,Input!$J$2:$J$501,0)),"")</f>
        <v/>
      </c>
      <c r="C121" t="str">
        <f>IFERROR(INDEX(Input!$C$2:$C$501,MATCH(120,Input!$J$2:$J$501,0)),"")</f>
        <v/>
      </c>
      <c r="D121" t="str">
        <f>IFERROR(INDEX(Input!$D$2:$D$501,MATCH(120,Input!$J$2:$J$501,0)),"")</f>
        <v/>
      </c>
      <c r="E121" s="3" t="str">
        <f>IFERROR(INDEX(Input!$E$2:$E$501,MATCH(120,Input!$J$2:$J$501,0)),"")</f>
        <v/>
      </c>
      <c r="F121" t="str">
        <f>IFERROR(INDEX(Input!$F$2:$F$501,MATCH(120,Input!$J$2:$J$501,0)),"")</f>
        <v/>
      </c>
      <c r="G121" s="3" t="str">
        <f>IFERROR(INDEX(Input!$G$2:$G$501,MATCH(120,Input!$J$2:$J$501,0)),"")</f>
        <v/>
      </c>
      <c r="H121" t="str">
        <f>IFERROR(INDEX(Input!$H$2:$H$501,MATCH(120,Input!$J$2:$J$501,0)),"")</f>
        <v/>
      </c>
    </row>
    <row r="122" spans="1:8" x14ac:dyDescent="0.35">
      <c r="A122" t="str">
        <f>IFERROR(INDEX(Input!$A$2:$A$501,MATCH(121,Input!$J$2:$J$501,0)),"")</f>
        <v/>
      </c>
      <c r="B122" t="str">
        <f>IFERROR(INDEX(Input!$B$2:$B$501,MATCH(121,Input!$J$2:$J$501,0)),"")</f>
        <v/>
      </c>
      <c r="C122" t="str">
        <f>IFERROR(INDEX(Input!$C$2:$C$501,MATCH(121,Input!$J$2:$J$501,0)),"")</f>
        <v/>
      </c>
      <c r="D122" t="str">
        <f>IFERROR(INDEX(Input!$D$2:$D$501,MATCH(121,Input!$J$2:$J$501,0)),"")</f>
        <v/>
      </c>
      <c r="E122" s="3" t="str">
        <f>IFERROR(INDEX(Input!$E$2:$E$501,MATCH(121,Input!$J$2:$J$501,0)),"")</f>
        <v/>
      </c>
      <c r="F122" t="str">
        <f>IFERROR(INDEX(Input!$F$2:$F$501,MATCH(121,Input!$J$2:$J$501,0)),"")</f>
        <v/>
      </c>
      <c r="G122" s="3" t="str">
        <f>IFERROR(INDEX(Input!$G$2:$G$501,MATCH(121,Input!$J$2:$J$501,0)),"")</f>
        <v/>
      </c>
      <c r="H122" t="str">
        <f>IFERROR(INDEX(Input!$H$2:$H$501,MATCH(121,Input!$J$2:$J$501,0)),"")</f>
        <v/>
      </c>
    </row>
    <row r="123" spans="1:8" x14ac:dyDescent="0.35">
      <c r="A123" t="str">
        <f>IFERROR(INDEX(Input!$A$2:$A$501,MATCH(122,Input!$J$2:$J$501,0)),"")</f>
        <v/>
      </c>
      <c r="B123" t="str">
        <f>IFERROR(INDEX(Input!$B$2:$B$501,MATCH(122,Input!$J$2:$J$501,0)),"")</f>
        <v/>
      </c>
      <c r="C123" t="str">
        <f>IFERROR(INDEX(Input!$C$2:$C$501,MATCH(122,Input!$J$2:$J$501,0)),"")</f>
        <v/>
      </c>
      <c r="D123" t="str">
        <f>IFERROR(INDEX(Input!$D$2:$D$501,MATCH(122,Input!$J$2:$J$501,0)),"")</f>
        <v/>
      </c>
      <c r="E123" s="3" t="str">
        <f>IFERROR(INDEX(Input!$E$2:$E$501,MATCH(122,Input!$J$2:$J$501,0)),"")</f>
        <v/>
      </c>
      <c r="F123" t="str">
        <f>IFERROR(INDEX(Input!$F$2:$F$501,MATCH(122,Input!$J$2:$J$501,0)),"")</f>
        <v/>
      </c>
      <c r="G123" s="3" t="str">
        <f>IFERROR(INDEX(Input!$G$2:$G$501,MATCH(122,Input!$J$2:$J$501,0)),"")</f>
        <v/>
      </c>
      <c r="H123" t="str">
        <f>IFERROR(INDEX(Input!$H$2:$H$501,MATCH(122,Input!$J$2:$J$501,0)),"")</f>
        <v/>
      </c>
    </row>
    <row r="124" spans="1:8" x14ac:dyDescent="0.35">
      <c r="A124" t="str">
        <f>IFERROR(INDEX(Input!$A$2:$A$501,MATCH(123,Input!$J$2:$J$501,0)),"")</f>
        <v/>
      </c>
      <c r="B124" t="str">
        <f>IFERROR(INDEX(Input!$B$2:$B$501,MATCH(123,Input!$J$2:$J$501,0)),"")</f>
        <v/>
      </c>
      <c r="C124" t="str">
        <f>IFERROR(INDEX(Input!$C$2:$C$501,MATCH(123,Input!$J$2:$J$501,0)),"")</f>
        <v/>
      </c>
      <c r="D124" t="str">
        <f>IFERROR(INDEX(Input!$D$2:$D$501,MATCH(123,Input!$J$2:$J$501,0)),"")</f>
        <v/>
      </c>
      <c r="E124" s="3" t="str">
        <f>IFERROR(INDEX(Input!$E$2:$E$501,MATCH(123,Input!$J$2:$J$501,0)),"")</f>
        <v/>
      </c>
      <c r="F124" t="str">
        <f>IFERROR(INDEX(Input!$F$2:$F$501,MATCH(123,Input!$J$2:$J$501,0)),"")</f>
        <v/>
      </c>
      <c r="G124" s="3" t="str">
        <f>IFERROR(INDEX(Input!$G$2:$G$501,MATCH(123,Input!$J$2:$J$501,0)),"")</f>
        <v/>
      </c>
      <c r="H124" t="str">
        <f>IFERROR(INDEX(Input!$H$2:$H$501,MATCH(123,Input!$J$2:$J$501,0)),"")</f>
        <v/>
      </c>
    </row>
    <row r="125" spans="1:8" x14ac:dyDescent="0.35">
      <c r="A125" t="str">
        <f>IFERROR(INDEX(Input!$A$2:$A$501,MATCH(124,Input!$J$2:$J$501,0)),"")</f>
        <v/>
      </c>
      <c r="B125" t="str">
        <f>IFERROR(INDEX(Input!$B$2:$B$501,MATCH(124,Input!$J$2:$J$501,0)),"")</f>
        <v/>
      </c>
      <c r="C125" t="str">
        <f>IFERROR(INDEX(Input!$C$2:$C$501,MATCH(124,Input!$J$2:$J$501,0)),"")</f>
        <v/>
      </c>
      <c r="D125" t="str">
        <f>IFERROR(INDEX(Input!$D$2:$D$501,MATCH(124,Input!$J$2:$J$501,0)),"")</f>
        <v/>
      </c>
      <c r="E125" s="3" t="str">
        <f>IFERROR(INDEX(Input!$E$2:$E$501,MATCH(124,Input!$J$2:$J$501,0)),"")</f>
        <v/>
      </c>
      <c r="F125" t="str">
        <f>IFERROR(INDEX(Input!$F$2:$F$501,MATCH(124,Input!$J$2:$J$501,0)),"")</f>
        <v/>
      </c>
      <c r="G125" s="3" t="str">
        <f>IFERROR(INDEX(Input!$G$2:$G$501,MATCH(124,Input!$J$2:$J$501,0)),"")</f>
        <v/>
      </c>
      <c r="H125" t="str">
        <f>IFERROR(INDEX(Input!$H$2:$H$501,MATCH(124,Input!$J$2:$J$501,0)),"")</f>
        <v/>
      </c>
    </row>
    <row r="126" spans="1:8" x14ac:dyDescent="0.35">
      <c r="A126" t="str">
        <f>IFERROR(INDEX(Input!$A$2:$A$501,MATCH(125,Input!$J$2:$J$501,0)),"")</f>
        <v/>
      </c>
      <c r="B126" t="str">
        <f>IFERROR(INDEX(Input!$B$2:$B$501,MATCH(125,Input!$J$2:$J$501,0)),"")</f>
        <v/>
      </c>
      <c r="C126" t="str">
        <f>IFERROR(INDEX(Input!$C$2:$C$501,MATCH(125,Input!$J$2:$J$501,0)),"")</f>
        <v/>
      </c>
      <c r="D126" t="str">
        <f>IFERROR(INDEX(Input!$D$2:$D$501,MATCH(125,Input!$J$2:$J$501,0)),"")</f>
        <v/>
      </c>
      <c r="E126" s="3" t="str">
        <f>IFERROR(INDEX(Input!$E$2:$E$501,MATCH(125,Input!$J$2:$J$501,0)),"")</f>
        <v/>
      </c>
      <c r="F126" t="str">
        <f>IFERROR(INDEX(Input!$F$2:$F$501,MATCH(125,Input!$J$2:$J$501,0)),"")</f>
        <v/>
      </c>
      <c r="G126" s="3" t="str">
        <f>IFERROR(INDEX(Input!$G$2:$G$501,MATCH(125,Input!$J$2:$J$501,0)),"")</f>
        <v/>
      </c>
      <c r="H126" t="str">
        <f>IFERROR(INDEX(Input!$H$2:$H$501,MATCH(125,Input!$J$2:$J$501,0)),"")</f>
        <v/>
      </c>
    </row>
    <row r="127" spans="1:8" x14ac:dyDescent="0.35">
      <c r="A127" t="str">
        <f>IFERROR(INDEX(Input!$A$2:$A$501,MATCH(126,Input!$J$2:$J$501,0)),"")</f>
        <v/>
      </c>
      <c r="B127" t="str">
        <f>IFERROR(INDEX(Input!$B$2:$B$501,MATCH(126,Input!$J$2:$J$501,0)),"")</f>
        <v/>
      </c>
      <c r="C127" t="str">
        <f>IFERROR(INDEX(Input!$C$2:$C$501,MATCH(126,Input!$J$2:$J$501,0)),"")</f>
        <v/>
      </c>
      <c r="D127" t="str">
        <f>IFERROR(INDEX(Input!$D$2:$D$501,MATCH(126,Input!$J$2:$J$501,0)),"")</f>
        <v/>
      </c>
      <c r="E127" s="3" t="str">
        <f>IFERROR(INDEX(Input!$E$2:$E$501,MATCH(126,Input!$J$2:$J$501,0)),"")</f>
        <v/>
      </c>
      <c r="F127" t="str">
        <f>IFERROR(INDEX(Input!$F$2:$F$501,MATCH(126,Input!$J$2:$J$501,0)),"")</f>
        <v/>
      </c>
      <c r="G127" s="3" t="str">
        <f>IFERROR(INDEX(Input!$G$2:$G$501,MATCH(126,Input!$J$2:$J$501,0)),"")</f>
        <v/>
      </c>
      <c r="H127" t="str">
        <f>IFERROR(INDEX(Input!$H$2:$H$501,MATCH(126,Input!$J$2:$J$501,0)),"")</f>
        <v/>
      </c>
    </row>
    <row r="128" spans="1:8" x14ac:dyDescent="0.35">
      <c r="A128" t="str">
        <f>IFERROR(INDEX(Input!$A$2:$A$501,MATCH(127,Input!$J$2:$J$501,0)),"")</f>
        <v/>
      </c>
      <c r="B128" t="str">
        <f>IFERROR(INDEX(Input!$B$2:$B$501,MATCH(127,Input!$J$2:$J$501,0)),"")</f>
        <v/>
      </c>
      <c r="C128" t="str">
        <f>IFERROR(INDEX(Input!$C$2:$C$501,MATCH(127,Input!$J$2:$J$501,0)),"")</f>
        <v/>
      </c>
      <c r="D128" t="str">
        <f>IFERROR(INDEX(Input!$D$2:$D$501,MATCH(127,Input!$J$2:$J$501,0)),"")</f>
        <v/>
      </c>
      <c r="E128" s="3" t="str">
        <f>IFERROR(INDEX(Input!$E$2:$E$501,MATCH(127,Input!$J$2:$J$501,0)),"")</f>
        <v/>
      </c>
      <c r="F128" t="str">
        <f>IFERROR(INDEX(Input!$F$2:$F$501,MATCH(127,Input!$J$2:$J$501,0)),"")</f>
        <v/>
      </c>
      <c r="G128" s="3" t="str">
        <f>IFERROR(INDEX(Input!$G$2:$G$501,MATCH(127,Input!$J$2:$J$501,0)),"")</f>
        <v/>
      </c>
      <c r="H128" t="str">
        <f>IFERROR(INDEX(Input!$H$2:$H$501,MATCH(127,Input!$J$2:$J$501,0)),"")</f>
        <v/>
      </c>
    </row>
    <row r="129" spans="1:8" x14ac:dyDescent="0.35">
      <c r="A129" t="str">
        <f>IFERROR(INDEX(Input!$A$2:$A$501,MATCH(128,Input!$J$2:$J$501,0)),"")</f>
        <v/>
      </c>
      <c r="B129" t="str">
        <f>IFERROR(INDEX(Input!$B$2:$B$501,MATCH(128,Input!$J$2:$J$501,0)),"")</f>
        <v/>
      </c>
      <c r="C129" t="str">
        <f>IFERROR(INDEX(Input!$C$2:$C$501,MATCH(128,Input!$J$2:$J$501,0)),"")</f>
        <v/>
      </c>
      <c r="D129" t="str">
        <f>IFERROR(INDEX(Input!$D$2:$D$501,MATCH(128,Input!$J$2:$J$501,0)),"")</f>
        <v/>
      </c>
      <c r="E129" s="3" t="str">
        <f>IFERROR(INDEX(Input!$E$2:$E$501,MATCH(128,Input!$J$2:$J$501,0)),"")</f>
        <v/>
      </c>
      <c r="F129" t="str">
        <f>IFERROR(INDEX(Input!$F$2:$F$501,MATCH(128,Input!$J$2:$J$501,0)),"")</f>
        <v/>
      </c>
      <c r="G129" s="3" t="str">
        <f>IFERROR(INDEX(Input!$G$2:$G$501,MATCH(128,Input!$J$2:$J$501,0)),"")</f>
        <v/>
      </c>
      <c r="H129" t="str">
        <f>IFERROR(INDEX(Input!$H$2:$H$501,MATCH(128,Input!$J$2:$J$501,0)),"")</f>
        <v/>
      </c>
    </row>
    <row r="130" spans="1:8" x14ac:dyDescent="0.35">
      <c r="A130" t="str">
        <f>IFERROR(INDEX(Input!$A$2:$A$501,MATCH(129,Input!$J$2:$J$501,0)),"")</f>
        <v/>
      </c>
      <c r="B130" t="str">
        <f>IFERROR(INDEX(Input!$B$2:$B$501,MATCH(129,Input!$J$2:$J$501,0)),"")</f>
        <v/>
      </c>
      <c r="C130" t="str">
        <f>IFERROR(INDEX(Input!$C$2:$C$501,MATCH(129,Input!$J$2:$J$501,0)),"")</f>
        <v/>
      </c>
      <c r="D130" t="str">
        <f>IFERROR(INDEX(Input!$D$2:$D$501,MATCH(129,Input!$J$2:$J$501,0)),"")</f>
        <v/>
      </c>
      <c r="E130" s="3" t="str">
        <f>IFERROR(INDEX(Input!$E$2:$E$501,MATCH(129,Input!$J$2:$J$501,0)),"")</f>
        <v/>
      </c>
      <c r="F130" t="str">
        <f>IFERROR(INDEX(Input!$F$2:$F$501,MATCH(129,Input!$J$2:$J$501,0)),"")</f>
        <v/>
      </c>
      <c r="G130" s="3" t="str">
        <f>IFERROR(INDEX(Input!$G$2:$G$501,MATCH(129,Input!$J$2:$J$501,0)),"")</f>
        <v/>
      </c>
      <c r="H130" t="str">
        <f>IFERROR(INDEX(Input!$H$2:$H$501,MATCH(129,Input!$J$2:$J$501,0)),"")</f>
        <v/>
      </c>
    </row>
    <row r="131" spans="1:8" x14ac:dyDescent="0.35">
      <c r="A131" t="str">
        <f>IFERROR(INDEX(Input!$A$2:$A$501,MATCH(130,Input!$J$2:$J$501,0)),"")</f>
        <v/>
      </c>
      <c r="B131" t="str">
        <f>IFERROR(INDEX(Input!$B$2:$B$501,MATCH(130,Input!$J$2:$J$501,0)),"")</f>
        <v/>
      </c>
      <c r="C131" t="str">
        <f>IFERROR(INDEX(Input!$C$2:$C$501,MATCH(130,Input!$J$2:$J$501,0)),"")</f>
        <v/>
      </c>
      <c r="D131" t="str">
        <f>IFERROR(INDEX(Input!$D$2:$D$501,MATCH(130,Input!$J$2:$J$501,0)),"")</f>
        <v/>
      </c>
      <c r="E131" s="3" t="str">
        <f>IFERROR(INDEX(Input!$E$2:$E$501,MATCH(130,Input!$J$2:$J$501,0)),"")</f>
        <v/>
      </c>
      <c r="F131" t="str">
        <f>IFERROR(INDEX(Input!$F$2:$F$501,MATCH(130,Input!$J$2:$J$501,0)),"")</f>
        <v/>
      </c>
      <c r="G131" s="3" t="str">
        <f>IFERROR(INDEX(Input!$G$2:$G$501,MATCH(130,Input!$J$2:$J$501,0)),"")</f>
        <v/>
      </c>
      <c r="H131" t="str">
        <f>IFERROR(INDEX(Input!$H$2:$H$501,MATCH(130,Input!$J$2:$J$501,0)),"")</f>
        <v/>
      </c>
    </row>
    <row r="132" spans="1:8" x14ac:dyDescent="0.35">
      <c r="A132" t="str">
        <f>IFERROR(INDEX(Input!$A$2:$A$501,MATCH(131,Input!$J$2:$J$501,0)),"")</f>
        <v/>
      </c>
      <c r="B132" t="str">
        <f>IFERROR(INDEX(Input!$B$2:$B$501,MATCH(131,Input!$J$2:$J$501,0)),"")</f>
        <v/>
      </c>
      <c r="C132" t="str">
        <f>IFERROR(INDEX(Input!$C$2:$C$501,MATCH(131,Input!$J$2:$J$501,0)),"")</f>
        <v/>
      </c>
      <c r="D132" t="str">
        <f>IFERROR(INDEX(Input!$D$2:$D$501,MATCH(131,Input!$J$2:$J$501,0)),"")</f>
        <v/>
      </c>
      <c r="E132" s="3" t="str">
        <f>IFERROR(INDEX(Input!$E$2:$E$501,MATCH(131,Input!$J$2:$J$501,0)),"")</f>
        <v/>
      </c>
      <c r="F132" t="str">
        <f>IFERROR(INDEX(Input!$F$2:$F$501,MATCH(131,Input!$J$2:$J$501,0)),"")</f>
        <v/>
      </c>
      <c r="G132" s="3" t="str">
        <f>IFERROR(INDEX(Input!$G$2:$G$501,MATCH(131,Input!$J$2:$J$501,0)),"")</f>
        <v/>
      </c>
      <c r="H132" t="str">
        <f>IFERROR(INDEX(Input!$H$2:$H$501,MATCH(131,Input!$J$2:$J$501,0)),"")</f>
        <v/>
      </c>
    </row>
    <row r="133" spans="1:8" x14ac:dyDescent="0.35">
      <c r="A133" t="str">
        <f>IFERROR(INDEX(Input!$A$2:$A$501,MATCH(132,Input!$J$2:$J$501,0)),"")</f>
        <v/>
      </c>
      <c r="B133" t="str">
        <f>IFERROR(INDEX(Input!$B$2:$B$501,MATCH(132,Input!$J$2:$J$501,0)),"")</f>
        <v/>
      </c>
      <c r="C133" t="str">
        <f>IFERROR(INDEX(Input!$C$2:$C$501,MATCH(132,Input!$J$2:$J$501,0)),"")</f>
        <v/>
      </c>
      <c r="D133" t="str">
        <f>IFERROR(INDEX(Input!$D$2:$D$501,MATCH(132,Input!$J$2:$J$501,0)),"")</f>
        <v/>
      </c>
      <c r="E133" s="3" t="str">
        <f>IFERROR(INDEX(Input!$E$2:$E$501,MATCH(132,Input!$J$2:$J$501,0)),"")</f>
        <v/>
      </c>
      <c r="F133" t="str">
        <f>IFERROR(INDEX(Input!$F$2:$F$501,MATCH(132,Input!$J$2:$J$501,0)),"")</f>
        <v/>
      </c>
      <c r="G133" s="3" t="str">
        <f>IFERROR(INDEX(Input!$G$2:$G$501,MATCH(132,Input!$J$2:$J$501,0)),"")</f>
        <v/>
      </c>
      <c r="H133" t="str">
        <f>IFERROR(INDEX(Input!$H$2:$H$501,MATCH(132,Input!$J$2:$J$501,0)),"")</f>
        <v/>
      </c>
    </row>
    <row r="134" spans="1:8" x14ac:dyDescent="0.35">
      <c r="A134" t="str">
        <f>IFERROR(INDEX(Input!$A$2:$A$501,MATCH(133,Input!$J$2:$J$501,0)),"")</f>
        <v/>
      </c>
      <c r="B134" t="str">
        <f>IFERROR(INDEX(Input!$B$2:$B$501,MATCH(133,Input!$J$2:$J$501,0)),"")</f>
        <v/>
      </c>
      <c r="C134" t="str">
        <f>IFERROR(INDEX(Input!$C$2:$C$501,MATCH(133,Input!$J$2:$J$501,0)),"")</f>
        <v/>
      </c>
      <c r="D134" t="str">
        <f>IFERROR(INDEX(Input!$D$2:$D$501,MATCH(133,Input!$J$2:$J$501,0)),"")</f>
        <v/>
      </c>
      <c r="E134" s="3" t="str">
        <f>IFERROR(INDEX(Input!$E$2:$E$501,MATCH(133,Input!$J$2:$J$501,0)),"")</f>
        <v/>
      </c>
      <c r="F134" t="str">
        <f>IFERROR(INDEX(Input!$F$2:$F$501,MATCH(133,Input!$J$2:$J$501,0)),"")</f>
        <v/>
      </c>
      <c r="G134" s="3" t="str">
        <f>IFERROR(INDEX(Input!$G$2:$G$501,MATCH(133,Input!$J$2:$J$501,0)),"")</f>
        <v/>
      </c>
      <c r="H134" t="str">
        <f>IFERROR(INDEX(Input!$H$2:$H$501,MATCH(133,Input!$J$2:$J$501,0)),"")</f>
        <v/>
      </c>
    </row>
    <row r="135" spans="1:8" x14ac:dyDescent="0.35">
      <c r="A135" t="str">
        <f>IFERROR(INDEX(Input!$A$2:$A$501,MATCH(134,Input!$J$2:$J$501,0)),"")</f>
        <v/>
      </c>
      <c r="B135" t="str">
        <f>IFERROR(INDEX(Input!$B$2:$B$501,MATCH(134,Input!$J$2:$J$501,0)),"")</f>
        <v/>
      </c>
      <c r="C135" t="str">
        <f>IFERROR(INDEX(Input!$C$2:$C$501,MATCH(134,Input!$J$2:$J$501,0)),"")</f>
        <v/>
      </c>
      <c r="D135" t="str">
        <f>IFERROR(INDEX(Input!$D$2:$D$501,MATCH(134,Input!$J$2:$J$501,0)),"")</f>
        <v/>
      </c>
      <c r="E135" s="3" t="str">
        <f>IFERROR(INDEX(Input!$E$2:$E$501,MATCH(134,Input!$J$2:$J$501,0)),"")</f>
        <v/>
      </c>
      <c r="F135" t="str">
        <f>IFERROR(INDEX(Input!$F$2:$F$501,MATCH(134,Input!$J$2:$J$501,0)),"")</f>
        <v/>
      </c>
      <c r="G135" s="3" t="str">
        <f>IFERROR(INDEX(Input!$G$2:$G$501,MATCH(134,Input!$J$2:$J$501,0)),"")</f>
        <v/>
      </c>
      <c r="H135" t="str">
        <f>IFERROR(INDEX(Input!$H$2:$H$501,MATCH(134,Input!$J$2:$J$501,0)),"")</f>
        <v/>
      </c>
    </row>
    <row r="136" spans="1:8" x14ac:dyDescent="0.35">
      <c r="A136" t="str">
        <f>IFERROR(INDEX(Input!$A$2:$A$501,MATCH(135,Input!$J$2:$J$501,0)),"")</f>
        <v/>
      </c>
      <c r="B136" t="str">
        <f>IFERROR(INDEX(Input!$B$2:$B$501,MATCH(135,Input!$J$2:$J$501,0)),"")</f>
        <v/>
      </c>
      <c r="C136" t="str">
        <f>IFERROR(INDEX(Input!$C$2:$C$501,MATCH(135,Input!$J$2:$J$501,0)),"")</f>
        <v/>
      </c>
      <c r="D136" t="str">
        <f>IFERROR(INDEX(Input!$D$2:$D$501,MATCH(135,Input!$J$2:$J$501,0)),"")</f>
        <v/>
      </c>
      <c r="E136" s="3" t="str">
        <f>IFERROR(INDEX(Input!$E$2:$E$501,MATCH(135,Input!$J$2:$J$501,0)),"")</f>
        <v/>
      </c>
      <c r="F136" t="str">
        <f>IFERROR(INDEX(Input!$F$2:$F$501,MATCH(135,Input!$J$2:$J$501,0)),"")</f>
        <v/>
      </c>
      <c r="G136" s="3" t="str">
        <f>IFERROR(INDEX(Input!$G$2:$G$501,MATCH(135,Input!$J$2:$J$501,0)),"")</f>
        <v/>
      </c>
      <c r="H136" t="str">
        <f>IFERROR(INDEX(Input!$H$2:$H$501,MATCH(135,Input!$J$2:$J$501,0)),"")</f>
        <v/>
      </c>
    </row>
    <row r="137" spans="1:8" x14ac:dyDescent="0.35">
      <c r="A137" t="str">
        <f>IFERROR(INDEX(Input!$A$2:$A$501,MATCH(136,Input!$J$2:$J$501,0)),"")</f>
        <v/>
      </c>
      <c r="B137" t="str">
        <f>IFERROR(INDEX(Input!$B$2:$B$501,MATCH(136,Input!$J$2:$J$501,0)),"")</f>
        <v/>
      </c>
      <c r="C137" t="str">
        <f>IFERROR(INDEX(Input!$C$2:$C$501,MATCH(136,Input!$J$2:$J$501,0)),"")</f>
        <v/>
      </c>
      <c r="D137" t="str">
        <f>IFERROR(INDEX(Input!$D$2:$D$501,MATCH(136,Input!$J$2:$J$501,0)),"")</f>
        <v/>
      </c>
      <c r="E137" s="3" t="str">
        <f>IFERROR(INDEX(Input!$E$2:$E$501,MATCH(136,Input!$J$2:$J$501,0)),"")</f>
        <v/>
      </c>
      <c r="F137" t="str">
        <f>IFERROR(INDEX(Input!$F$2:$F$501,MATCH(136,Input!$J$2:$J$501,0)),"")</f>
        <v/>
      </c>
      <c r="G137" s="3" t="str">
        <f>IFERROR(INDEX(Input!$G$2:$G$501,MATCH(136,Input!$J$2:$J$501,0)),"")</f>
        <v/>
      </c>
      <c r="H137" t="str">
        <f>IFERROR(INDEX(Input!$H$2:$H$501,MATCH(136,Input!$J$2:$J$501,0)),"")</f>
        <v/>
      </c>
    </row>
    <row r="138" spans="1:8" x14ac:dyDescent="0.35">
      <c r="A138" t="str">
        <f>IFERROR(INDEX(Input!$A$2:$A$501,MATCH(137,Input!$J$2:$J$501,0)),"")</f>
        <v/>
      </c>
      <c r="B138" t="str">
        <f>IFERROR(INDEX(Input!$B$2:$B$501,MATCH(137,Input!$J$2:$J$501,0)),"")</f>
        <v/>
      </c>
      <c r="C138" t="str">
        <f>IFERROR(INDEX(Input!$C$2:$C$501,MATCH(137,Input!$J$2:$J$501,0)),"")</f>
        <v/>
      </c>
      <c r="D138" t="str">
        <f>IFERROR(INDEX(Input!$D$2:$D$501,MATCH(137,Input!$J$2:$J$501,0)),"")</f>
        <v/>
      </c>
      <c r="E138" s="3" t="str">
        <f>IFERROR(INDEX(Input!$E$2:$E$501,MATCH(137,Input!$J$2:$J$501,0)),"")</f>
        <v/>
      </c>
      <c r="F138" t="str">
        <f>IFERROR(INDEX(Input!$F$2:$F$501,MATCH(137,Input!$J$2:$J$501,0)),"")</f>
        <v/>
      </c>
      <c r="G138" s="3" t="str">
        <f>IFERROR(INDEX(Input!$G$2:$G$501,MATCH(137,Input!$J$2:$J$501,0)),"")</f>
        <v/>
      </c>
      <c r="H138" t="str">
        <f>IFERROR(INDEX(Input!$H$2:$H$501,MATCH(137,Input!$J$2:$J$501,0)),"")</f>
        <v/>
      </c>
    </row>
    <row r="139" spans="1:8" x14ac:dyDescent="0.35">
      <c r="A139" t="str">
        <f>IFERROR(INDEX(Input!$A$2:$A$501,MATCH(138,Input!$J$2:$J$501,0)),"")</f>
        <v/>
      </c>
      <c r="B139" t="str">
        <f>IFERROR(INDEX(Input!$B$2:$B$501,MATCH(138,Input!$J$2:$J$501,0)),"")</f>
        <v/>
      </c>
      <c r="C139" t="str">
        <f>IFERROR(INDEX(Input!$C$2:$C$501,MATCH(138,Input!$J$2:$J$501,0)),"")</f>
        <v/>
      </c>
      <c r="D139" t="str">
        <f>IFERROR(INDEX(Input!$D$2:$D$501,MATCH(138,Input!$J$2:$J$501,0)),"")</f>
        <v/>
      </c>
      <c r="E139" s="3" t="str">
        <f>IFERROR(INDEX(Input!$E$2:$E$501,MATCH(138,Input!$J$2:$J$501,0)),"")</f>
        <v/>
      </c>
      <c r="F139" t="str">
        <f>IFERROR(INDEX(Input!$F$2:$F$501,MATCH(138,Input!$J$2:$J$501,0)),"")</f>
        <v/>
      </c>
      <c r="G139" s="3" t="str">
        <f>IFERROR(INDEX(Input!$G$2:$G$501,MATCH(138,Input!$J$2:$J$501,0)),"")</f>
        <v/>
      </c>
      <c r="H139" t="str">
        <f>IFERROR(INDEX(Input!$H$2:$H$501,MATCH(138,Input!$J$2:$J$501,0)),"")</f>
        <v/>
      </c>
    </row>
    <row r="140" spans="1:8" x14ac:dyDescent="0.35">
      <c r="A140" t="str">
        <f>IFERROR(INDEX(Input!$A$2:$A$501,MATCH(139,Input!$J$2:$J$501,0)),"")</f>
        <v/>
      </c>
      <c r="B140" t="str">
        <f>IFERROR(INDEX(Input!$B$2:$B$501,MATCH(139,Input!$J$2:$J$501,0)),"")</f>
        <v/>
      </c>
      <c r="C140" t="str">
        <f>IFERROR(INDEX(Input!$C$2:$C$501,MATCH(139,Input!$J$2:$J$501,0)),"")</f>
        <v/>
      </c>
      <c r="D140" t="str">
        <f>IFERROR(INDEX(Input!$D$2:$D$501,MATCH(139,Input!$J$2:$J$501,0)),"")</f>
        <v/>
      </c>
      <c r="E140" s="3" t="str">
        <f>IFERROR(INDEX(Input!$E$2:$E$501,MATCH(139,Input!$J$2:$J$501,0)),"")</f>
        <v/>
      </c>
      <c r="F140" t="str">
        <f>IFERROR(INDEX(Input!$F$2:$F$501,MATCH(139,Input!$J$2:$J$501,0)),"")</f>
        <v/>
      </c>
      <c r="G140" s="3" t="str">
        <f>IFERROR(INDEX(Input!$G$2:$G$501,MATCH(139,Input!$J$2:$J$501,0)),"")</f>
        <v/>
      </c>
      <c r="H140" t="str">
        <f>IFERROR(INDEX(Input!$H$2:$H$501,MATCH(139,Input!$J$2:$J$501,0)),"")</f>
        <v/>
      </c>
    </row>
    <row r="141" spans="1:8" x14ac:dyDescent="0.35">
      <c r="A141" t="str">
        <f>IFERROR(INDEX(Input!$A$2:$A$501,MATCH(140,Input!$J$2:$J$501,0)),"")</f>
        <v/>
      </c>
      <c r="B141" t="str">
        <f>IFERROR(INDEX(Input!$B$2:$B$501,MATCH(140,Input!$J$2:$J$501,0)),"")</f>
        <v/>
      </c>
      <c r="C141" t="str">
        <f>IFERROR(INDEX(Input!$C$2:$C$501,MATCH(140,Input!$J$2:$J$501,0)),"")</f>
        <v/>
      </c>
      <c r="D141" t="str">
        <f>IFERROR(INDEX(Input!$D$2:$D$501,MATCH(140,Input!$J$2:$J$501,0)),"")</f>
        <v/>
      </c>
      <c r="E141" s="3" t="str">
        <f>IFERROR(INDEX(Input!$E$2:$E$501,MATCH(140,Input!$J$2:$J$501,0)),"")</f>
        <v/>
      </c>
      <c r="F141" t="str">
        <f>IFERROR(INDEX(Input!$F$2:$F$501,MATCH(140,Input!$J$2:$J$501,0)),"")</f>
        <v/>
      </c>
      <c r="G141" s="3" t="str">
        <f>IFERROR(INDEX(Input!$G$2:$G$501,MATCH(140,Input!$J$2:$J$501,0)),"")</f>
        <v/>
      </c>
      <c r="H141" t="str">
        <f>IFERROR(INDEX(Input!$H$2:$H$501,MATCH(140,Input!$J$2:$J$501,0)),"")</f>
        <v/>
      </c>
    </row>
    <row r="142" spans="1:8" x14ac:dyDescent="0.35">
      <c r="A142" t="str">
        <f>IFERROR(INDEX(Input!$A$2:$A$501,MATCH(141,Input!$J$2:$J$501,0)),"")</f>
        <v/>
      </c>
      <c r="B142" t="str">
        <f>IFERROR(INDEX(Input!$B$2:$B$501,MATCH(141,Input!$J$2:$J$501,0)),"")</f>
        <v/>
      </c>
      <c r="C142" t="str">
        <f>IFERROR(INDEX(Input!$C$2:$C$501,MATCH(141,Input!$J$2:$J$501,0)),"")</f>
        <v/>
      </c>
      <c r="D142" t="str">
        <f>IFERROR(INDEX(Input!$D$2:$D$501,MATCH(141,Input!$J$2:$J$501,0)),"")</f>
        <v/>
      </c>
      <c r="E142" s="3" t="str">
        <f>IFERROR(INDEX(Input!$E$2:$E$501,MATCH(141,Input!$J$2:$J$501,0)),"")</f>
        <v/>
      </c>
      <c r="F142" t="str">
        <f>IFERROR(INDEX(Input!$F$2:$F$501,MATCH(141,Input!$J$2:$J$501,0)),"")</f>
        <v/>
      </c>
      <c r="G142" s="3" t="str">
        <f>IFERROR(INDEX(Input!$G$2:$G$501,MATCH(141,Input!$J$2:$J$501,0)),"")</f>
        <v/>
      </c>
      <c r="H142" t="str">
        <f>IFERROR(INDEX(Input!$H$2:$H$501,MATCH(141,Input!$J$2:$J$501,0)),"")</f>
        <v/>
      </c>
    </row>
    <row r="143" spans="1:8" x14ac:dyDescent="0.35">
      <c r="A143" t="str">
        <f>IFERROR(INDEX(Input!$A$2:$A$501,MATCH(142,Input!$J$2:$J$501,0)),"")</f>
        <v/>
      </c>
      <c r="B143" t="str">
        <f>IFERROR(INDEX(Input!$B$2:$B$501,MATCH(142,Input!$J$2:$J$501,0)),"")</f>
        <v/>
      </c>
      <c r="C143" t="str">
        <f>IFERROR(INDEX(Input!$C$2:$C$501,MATCH(142,Input!$J$2:$J$501,0)),"")</f>
        <v/>
      </c>
      <c r="D143" t="str">
        <f>IFERROR(INDEX(Input!$D$2:$D$501,MATCH(142,Input!$J$2:$J$501,0)),"")</f>
        <v/>
      </c>
      <c r="E143" s="3" t="str">
        <f>IFERROR(INDEX(Input!$E$2:$E$501,MATCH(142,Input!$J$2:$J$501,0)),"")</f>
        <v/>
      </c>
      <c r="F143" t="str">
        <f>IFERROR(INDEX(Input!$F$2:$F$501,MATCH(142,Input!$J$2:$J$501,0)),"")</f>
        <v/>
      </c>
      <c r="G143" s="3" t="str">
        <f>IFERROR(INDEX(Input!$G$2:$G$501,MATCH(142,Input!$J$2:$J$501,0)),"")</f>
        <v/>
      </c>
      <c r="H143" t="str">
        <f>IFERROR(INDEX(Input!$H$2:$H$501,MATCH(142,Input!$J$2:$J$501,0)),"")</f>
        <v/>
      </c>
    </row>
    <row r="144" spans="1:8" x14ac:dyDescent="0.35">
      <c r="A144" t="str">
        <f>IFERROR(INDEX(Input!$A$2:$A$501,MATCH(143,Input!$J$2:$J$501,0)),"")</f>
        <v/>
      </c>
      <c r="B144" t="str">
        <f>IFERROR(INDEX(Input!$B$2:$B$501,MATCH(143,Input!$J$2:$J$501,0)),"")</f>
        <v/>
      </c>
      <c r="C144" t="str">
        <f>IFERROR(INDEX(Input!$C$2:$C$501,MATCH(143,Input!$J$2:$J$501,0)),"")</f>
        <v/>
      </c>
      <c r="D144" t="str">
        <f>IFERROR(INDEX(Input!$D$2:$D$501,MATCH(143,Input!$J$2:$J$501,0)),"")</f>
        <v/>
      </c>
      <c r="E144" s="3" t="str">
        <f>IFERROR(INDEX(Input!$E$2:$E$501,MATCH(143,Input!$J$2:$J$501,0)),"")</f>
        <v/>
      </c>
      <c r="F144" t="str">
        <f>IFERROR(INDEX(Input!$F$2:$F$501,MATCH(143,Input!$J$2:$J$501,0)),"")</f>
        <v/>
      </c>
      <c r="G144" s="3" t="str">
        <f>IFERROR(INDEX(Input!$G$2:$G$501,MATCH(143,Input!$J$2:$J$501,0)),"")</f>
        <v/>
      </c>
      <c r="H144" t="str">
        <f>IFERROR(INDEX(Input!$H$2:$H$501,MATCH(143,Input!$J$2:$J$501,0)),"")</f>
        <v/>
      </c>
    </row>
    <row r="145" spans="1:8" x14ac:dyDescent="0.35">
      <c r="A145" t="str">
        <f>IFERROR(INDEX(Input!$A$2:$A$501,MATCH(144,Input!$J$2:$J$501,0)),"")</f>
        <v/>
      </c>
      <c r="B145" t="str">
        <f>IFERROR(INDEX(Input!$B$2:$B$501,MATCH(144,Input!$J$2:$J$501,0)),"")</f>
        <v/>
      </c>
      <c r="C145" t="str">
        <f>IFERROR(INDEX(Input!$C$2:$C$501,MATCH(144,Input!$J$2:$J$501,0)),"")</f>
        <v/>
      </c>
      <c r="D145" t="str">
        <f>IFERROR(INDEX(Input!$D$2:$D$501,MATCH(144,Input!$J$2:$J$501,0)),"")</f>
        <v/>
      </c>
      <c r="E145" s="3" t="str">
        <f>IFERROR(INDEX(Input!$E$2:$E$501,MATCH(144,Input!$J$2:$J$501,0)),"")</f>
        <v/>
      </c>
      <c r="F145" t="str">
        <f>IFERROR(INDEX(Input!$F$2:$F$501,MATCH(144,Input!$J$2:$J$501,0)),"")</f>
        <v/>
      </c>
      <c r="G145" s="3" t="str">
        <f>IFERROR(INDEX(Input!$G$2:$G$501,MATCH(144,Input!$J$2:$J$501,0)),"")</f>
        <v/>
      </c>
      <c r="H145" t="str">
        <f>IFERROR(INDEX(Input!$H$2:$H$501,MATCH(144,Input!$J$2:$J$501,0)),"")</f>
        <v/>
      </c>
    </row>
    <row r="146" spans="1:8" x14ac:dyDescent="0.35">
      <c r="A146" t="str">
        <f>IFERROR(INDEX(Input!$A$2:$A$501,MATCH(145,Input!$J$2:$J$501,0)),"")</f>
        <v/>
      </c>
      <c r="B146" t="str">
        <f>IFERROR(INDEX(Input!$B$2:$B$501,MATCH(145,Input!$J$2:$J$501,0)),"")</f>
        <v/>
      </c>
      <c r="C146" t="str">
        <f>IFERROR(INDEX(Input!$C$2:$C$501,MATCH(145,Input!$J$2:$J$501,0)),"")</f>
        <v/>
      </c>
      <c r="D146" t="str">
        <f>IFERROR(INDEX(Input!$D$2:$D$501,MATCH(145,Input!$J$2:$J$501,0)),"")</f>
        <v/>
      </c>
      <c r="E146" s="3" t="str">
        <f>IFERROR(INDEX(Input!$E$2:$E$501,MATCH(145,Input!$J$2:$J$501,0)),"")</f>
        <v/>
      </c>
      <c r="F146" t="str">
        <f>IFERROR(INDEX(Input!$F$2:$F$501,MATCH(145,Input!$J$2:$J$501,0)),"")</f>
        <v/>
      </c>
      <c r="G146" s="3" t="str">
        <f>IFERROR(INDEX(Input!$G$2:$G$501,MATCH(145,Input!$J$2:$J$501,0)),"")</f>
        <v/>
      </c>
      <c r="H146" t="str">
        <f>IFERROR(INDEX(Input!$H$2:$H$501,MATCH(145,Input!$J$2:$J$501,0)),"")</f>
        <v/>
      </c>
    </row>
    <row r="147" spans="1:8" x14ac:dyDescent="0.35">
      <c r="A147" t="str">
        <f>IFERROR(INDEX(Input!$A$2:$A$501,MATCH(146,Input!$J$2:$J$501,0)),"")</f>
        <v/>
      </c>
      <c r="B147" t="str">
        <f>IFERROR(INDEX(Input!$B$2:$B$501,MATCH(146,Input!$J$2:$J$501,0)),"")</f>
        <v/>
      </c>
      <c r="C147" t="str">
        <f>IFERROR(INDEX(Input!$C$2:$C$501,MATCH(146,Input!$J$2:$J$501,0)),"")</f>
        <v/>
      </c>
      <c r="D147" t="str">
        <f>IFERROR(INDEX(Input!$D$2:$D$501,MATCH(146,Input!$J$2:$J$501,0)),"")</f>
        <v/>
      </c>
      <c r="E147" s="3" t="str">
        <f>IFERROR(INDEX(Input!$E$2:$E$501,MATCH(146,Input!$J$2:$J$501,0)),"")</f>
        <v/>
      </c>
      <c r="F147" t="str">
        <f>IFERROR(INDEX(Input!$F$2:$F$501,MATCH(146,Input!$J$2:$J$501,0)),"")</f>
        <v/>
      </c>
      <c r="G147" s="3" t="str">
        <f>IFERROR(INDEX(Input!$G$2:$G$501,MATCH(146,Input!$J$2:$J$501,0)),"")</f>
        <v/>
      </c>
      <c r="H147" t="str">
        <f>IFERROR(INDEX(Input!$H$2:$H$501,MATCH(146,Input!$J$2:$J$501,0)),"")</f>
        <v/>
      </c>
    </row>
    <row r="148" spans="1:8" x14ac:dyDescent="0.35">
      <c r="A148" t="str">
        <f>IFERROR(INDEX(Input!$A$2:$A$501,MATCH(147,Input!$J$2:$J$501,0)),"")</f>
        <v/>
      </c>
      <c r="B148" t="str">
        <f>IFERROR(INDEX(Input!$B$2:$B$501,MATCH(147,Input!$J$2:$J$501,0)),"")</f>
        <v/>
      </c>
      <c r="C148" t="str">
        <f>IFERROR(INDEX(Input!$C$2:$C$501,MATCH(147,Input!$J$2:$J$501,0)),"")</f>
        <v/>
      </c>
      <c r="D148" t="str">
        <f>IFERROR(INDEX(Input!$D$2:$D$501,MATCH(147,Input!$J$2:$J$501,0)),"")</f>
        <v/>
      </c>
      <c r="E148" s="3" t="str">
        <f>IFERROR(INDEX(Input!$E$2:$E$501,MATCH(147,Input!$J$2:$J$501,0)),"")</f>
        <v/>
      </c>
      <c r="F148" t="str">
        <f>IFERROR(INDEX(Input!$F$2:$F$501,MATCH(147,Input!$J$2:$J$501,0)),"")</f>
        <v/>
      </c>
      <c r="G148" s="3" t="str">
        <f>IFERROR(INDEX(Input!$G$2:$G$501,MATCH(147,Input!$J$2:$J$501,0)),"")</f>
        <v/>
      </c>
      <c r="H148" t="str">
        <f>IFERROR(INDEX(Input!$H$2:$H$501,MATCH(147,Input!$J$2:$J$501,0)),"")</f>
        <v/>
      </c>
    </row>
    <row r="149" spans="1:8" x14ac:dyDescent="0.35">
      <c r="A149" t="str">
        <f>IFERROR(INDEX(Input!$A$2:$A$501,MATCH(148,Input!$J$2:$J$501,0)),"")</f>
        <v/>
      </c>
      <c r="B149" t="str">
        <f>IFERROR(INDEX(Input!$B$2:$B$501,MATCH(148,Input!$J$2:$J$501,0)),"")</f>
        <v/>
      </c>
      <c r="C149" t="str">
        <f>IFERROR(INDEX(Input!$C$2:$C$501,MATCH(148,Input!$J$2:$J$501,0)),"")</f>
        <v/>
      </c>
      <c r="D149" t="str">
        <f>IFERROR(INDEX(Input!$D$2:$D$501,MATCH(148,Input!$J$2:$J$501,0)),"")</f>
        <v/>
      </c>
      <c r="E149" s="3" t="str">
        <f>IFERROR(INDEX(Input!$E$2:$E$501,MATCH(148,Input!$J$2:$J$501,0)),"")</f>
        <v/>
      </c>
      <c r="F149" t="str">
        <f>IFERROR(INDEX(Input!$F$2:$F$501,MATCH(148,Input!$J$2:$J$501,0)),"")</f>
        <v/>
      </c>
      <c r="G149" s="3" t="str">
        <f>IFERROR(INDEX(Input!$G$2:$G$501,MATCH(148,Input!$J$2:$J$501,0)),"")</f>
        <v/>
      </c>
      <c r="H149" t="str">
        <f>IFERROR(INDEX(Input!$H$2:$H$501,MATCH(148,Input!$J$2:$J$501,0)),"")</f>
        <v/>
      </c>
    </row>
    <row r="150" spans="1:8" x14ac:dyDescent="0.35">
      <c r="A150" t="str">
        <f>IFERROR(INDEX(Input!$A$2:$A$501,MATCH(149,Input!$J$2:$J$501,0)),"")</f>
        <v/>
      </c>
      <c r="B150" t="str">
        <f>IFERROR(INDEX(Input!$B$2:$B$501,MATCH(149,Input!$J$2:$J$501,0)),"")</f>
        <v/>
      </c>
      <c r="C150" t="str">
        <f>IFERROR(INDEX(Input!$C$2:$C$501,MATCH(149,Input!$J$2:$J$501,0)),"")</f>
        <v/>
      </c>
      <c r="D150" t="str">
        <f>IFERROR(INDEX(Input!$D$2:$D$501,MATCH(149,Input!$J$2:$J$501,0)),"")</f>
        <v/>
      </c>
      <c r="E150" s="3" t="str">
        <f>IFERROR(INDEX(Input!$E$2:$E$501,MATCH(149,Input!$J$2:$J$501,0)),"")</f>
        <v/>
      </c>
      <c r="F150" t="str">
        <f>IFERROR(INDEX(Input!$F$2:$F$501,MATCH(149,Input!$J$2:$J$501,0)),"")</f>
        <v/>
      </c>
      <c r="G150" s="3" t="str">
        <f>IFERROR(INDEX(Input!$G$2:$G$501,MATCH(149,Input!$J$2:$J$501,0)),"")</f>
        <v/>
      </c>
      <c r="H150" t="str">
        <f>IFERROR(INDEX(Input!$H$2:$H$501,MATCH(149,Input!$J$2:$J$501,0)),"")</f>
        <v/>
      </c>
    </row>
    <row r="151" spans="1:8" x14ac:dyDescent="0.35">
      <c r="A151" t="str">
        <f>IFERROR(INDEX(Input!$A$2:$A$501,MATCH(150,Input!$J$2:$J$501,0)),"")</f>
        <v/>
      </c>
      <c r="B151" t="str">
        <f>IFERROR(INDEX(Input!$B$2:$B$501,MATCH(150,Input!$J$2:$J$501,0)),"")</f>
        <v/>
      </c>
      <c r="C151" t="str">
        <f>IFERROR(INDEX(Input!$C$2:$C$501,MATCH(150,Input!$J$2:$J$501,0)),"")</f>
        <v/>
      </c>
      <c r="D151" t="str">
        <f>IFERROR(INDEX(Input!$D$2:$D$501,MATCH(150,Input!$J$2:$J$501,0)),"")</f>
        <v/>
      </c>
      <c r="E151" s="3" t="str">
        <f>IFERROR(INDEX(Input!$E$2:$E$501,MATCH(150,Input!$J$2:$J$501,0)),"")</f>
        <v/>
      </c>
      <c r="F151" t="str">
        <f>IFERROR(INDEX(Input!$F$2:$F$501,MATCH(150,Input!$J$2:$J$501,0)),"")</f>
        <v/>
      </c>
      <c r="G151" s="3" t="str">
        <f>IFERROR(INDEX(Input!$G$2:$G$501,MATCH(150,Input!$J$2:$J$501,0)),"")</f>
        <v/>
      </c>
      <c r="H151" t="str">
        <f>IFERROR(INDEX(Input!$H$2:$H$501,MATCH(150,Input!$J$2:$J$501,0)),"")</f>
        <v/>
      </c>
    </row>
    <row r="152" spans="1:8" x14ac:dyDescent="0.35">
      <c r="A152" t="str">
        <f>IFERROR(INDEX(Input!$A$2:$A$501,MATCH(151,Input!$J$2:$J$501,0)),"")</f>
        <v/>
      </c>
      <c r="B152" t="str">
        <f>IFERROR(INDEX(Input!$B$2:$B$501,MATCH(151,Input!$J$2:$J$501,0)),"")</f>
        <v/>
      </c>
      <c r="C152" t="str">
        <f>IFERROR(INDEX(Input!$C$2:$C$501,MATCH(151,Input!$J$2:$J$501,0)),"")</f>
        <v/>
      </c>
      <c r="D152" t="str">
        <f>IFERROR(INDEX(Input!$D$2:$D$501,MATCH(151,Input!$J$2:$J$501,0)),"")</f>
        <v/>
      </c>
      <c r="E152" s="3" t="str">
        <f>IFERROR(INDEX(Input!$E$2:$E$501,MATCH(151,Input!$J$2:$J$501,0)),"")</f>
        <v/>
      </c>
      <c r="F152" t="str">
        <f>IFERROR(INDEX(Input!$F$2:$F$501,MATCH(151,Input!$J$2:$J$501,0)),"")</f>
        <v/>
      </c>
      <c r="G152" s="3" t="str">
        <f>IFERROR(INDEX(Input!$G$2:$G$501,MATCH(151,Input!$J$2:$J$501,0)),"")</f>
        <v/>
      </c>
      <c r="H152" t="str">
        <f>IFERROR(INDEX(Input!$H$2:$H$501,MATCH(151,Input!$J$2:$J$501,0)),"")</f>
        <v/>
      </c>
    </row>
    <row r="153" spans="1:8" x14ac:dyDescent="0.35">
      <c r="A153" t="str">
        <f>IFERROR(INDEX(Input!$A$2:$A$501,MATCH(152,Input!$J$2:$J$501,0)),"")</f>
        <v/>
      </c>
      <c r="B153" t="str">
        <f>IFERROR(INDEX(Input!$B$2:$B$501,MATCH(152,Input!$J$2:$J$501,0)),"")</f>
        <v/>
      </c>
      <c r="C153" t="str">
        <f>IFERROR(INDEX(Input!$C$2:$C$501,MATCH(152,Input!$J$2:$J$501,0)),"")</f>
        <v/>
      </c>
      <c r="D153" t="str">
        <f>IFERROR(INDEX(Input!$D$2:$D$501,MATCH(152,Input!$J$2:$J$501,0)),"")</f>
        <v/>
      </c>
      <c r="E153" s="3" t="str">
        <f>IFERROR(INDEX(Input!$E$2:$E$501,MATCH(152,Input!$J$2:$J$501,0)),"")</f>
        <v/>
      </c>
      <c r="F153" t="str">
        <f>IFERROR(INDEX(Input!$F$2:$F$501,MATCH(152,Input!$J$2:$J$501,0)),"")</f>
        <v/>
      </c>
      <c r="G153" s="3" t="str">
        <f>IFERROR(INDEX(Input!$G$2:$G$501,MATCH(152,Input!$J$2:$J$501,0)),"")</f>
        <v/>
      </c>
      <c r="H153" t="str">
        <f>IFERROR(INDEX(Input!$H$2:$H$501,MATCH(152,Input!$J$2:$J$501,0)),"")</f>
        <v/>
      </c>
    </row>
    <row r="154" spans="1:8" x14ac:dyDescent="0.35">
      <c r="A154" t="str">
        <f>IFERROR(INDEX(Input!$A$2:$A$501,MATCH(153,Input!$J$2:$J$501,0)),"")</f>
        <v/>
      </c>
      <c r="B154" t="str">
        <f>IFERROR(INDEX(Input!$B$2:$B$501,MATCH(153,Input!$J$2:$J$501,0)),"")</f>
        <v/>
      </c>
      <c r="C154" t="str">
        <f>IFERROR(INDEX(Input!$C$2:$C$501,MATCH(153,Input!$J$2:$J$501,0)),"")</f>
        <v/>
      </c>
      <c r="D154" t="str">
        <f>IFERROR(INDEX(Input!$D$2:$D$501,MATCH(153,Input!$J$2:$J$501,0)),"")</f>
        <v/>
      </c>
      <c r="E154" s="3" t="str">
        <f>IFERROR(INDEX(Input!$E$2:$E$501,MATCH(153,Input!$J$2:$J$501,0)),"")</f>
        <v/>
      </c>
      <c r="F154" t="str">
        <f>IFERROR(INDEX(Input!$F$2:$F$501,MATCH(153,Input!$J$2:$J$501,0)),"")</f>
        <v/>
      </c>
      <c r="G154" s="3" t="str">
        <f>IFERROR(INDEX(Input!$G$2:$G$501,MATCH(153,Input!$J$2:$J$501,0)),"")</f>
        <v/>
      </c>
      <c r="H154" t="str">
        <f>IFERROR(INDEX(Input!$H$2:$H$501,MATCH(153,Input!$J$2:$J$501,0)),"")</f>
        <v/>
      </c>
    </row>
    <row r="155" spans="1:8" x14ac:dyDescent="0.35">
      <c r="A155" t="str">
        <f>IFERROR(INDEX(Input!$A$2:$A$501,MATCH(154,Input!$J$2:$J$501,0)),"")</f>
        <v/>
      </c>
      <c r="B155" t="str">
        <f>IFERROR(INDEX(Input!$B$2:$B$501,MATCH(154,Input!$J$2:$J$501,0)),"")</f>
        <v/>
      </c>
      <c r="C155" t="str">
        <f>IFERROR(INDEX(Input!$C$2:$C$501,MATCH(154,Input!$J$2:$J$501,0)),"")</f>
        <v/>
      </c>
      <c r="D155" t="str">
        <f>IFERROR(INDEX(Input!$D$2:$D$501,MATCH(154,Input!$J$2:$J$501,0)),"")</f>
        <v/>
      </c>
      <c r="E155" s="3" t="str">
        <f>IFERROR(INDEX(Input!$E$2:$E$501,MATCH(154,Input!$J$2:$J$501,0)),"")</f>
        <v/>
      </c>
      <c r="F155" t="str">
        <f>IFERROR(INDEX(Input!$F$2:$F$501,MATCH(154,Input!$J$2:$J$501,0)),"")</f>
        <v/>
      </c>
      <c r="G155" s="3" t="str">
        <f>IFERROR(INDEX(Input!$G$2:$G$501,MATCH(154,Input!$J$2:$J$501,0)),"")</f>
        <v/>
      </c>
      <c r="H155" t="str">
        <f>IFERROR(INDEX(Input!$H$2:$H$501,MATCH(154,Input!$J$2:$J$501,0)),"")</f>
        <v/>
      </c>
    </row>
    <row r="156" spans="1:8" x14ac:dyDescent="0.35">
      <c r="A156" t="str">
        <f>IFERROR(INDEX(Input!$A$2:$A$501,MATCH(155,Input!$J$2:$J$501,0)),"")</f>
        <v/>
      </c>
      <c r="B156" t="str">
        <f>IFERROR(INDEX(Input!$B$2:$B$501,MATCH(155,Input!$J$2:$J$501,0)),"")</f>
        <v/>
      </c>
      <c r="C156" t="str">
        <f>IFERROR(INDEX(Input!$C$2:$C$501,MATCH(155,Input!$J$2:$J$501,0)),"")</f>
        <v/>
      </c>
      <c r="D156" t="str">
        <f>IFERROR(INDEX(Input!$D$2:$D$501,MATCH(155,Input!$J$2:$J$501,0)),"")</f>
        <v/>
      </c>
      <c r="E156" s="3" t="str">
        <f>IFERROR(INDEX(Input!$E$2:$E$501,MATCH(155,Input!$J$2:$J$501,0)),"")</f>
        <v/>
      </c>
      <c r="F156" t="str">
        <f>IFERROR(INDEX(Input!$F$2:$F$501,MATCH(155,Input!$J$2:$J$501,0)),"")</f>
        <v/>
      </c>
      <c r="G156" s="3" t="str">
        <f>IFERROR(INDEX(Input!$G$2:$G$501,MATCH(155,Input!$J$2:$J$501,0)),"")</f>
        <v/>
      </c>
      <c r="H156" t="str">
        <f>IFERROR(INDEX(Input!$H$2:$H$501,MATCH(155,Input!$J$2:$J$501,0)),"")</f>
        <v/>
      </c>
    </row>
    <row r="157" spans="1:8" x14ac:dyDescent="0.35">
      <c r="A157" t="str">
        <f>IFERROR(INDEX(Input!$A$2:$A$501,MATCH(156,Input!$J$2:$J$501,0)),"")</f>
        <v/>
      </c>
      <c r="B157" t="str">
        <f>IFERROR(INDEX(Input!$B$2:$B$501,MATCH(156,Input!$J$2:$J$501,0)),"")</f>
        <v/>
      </c>
      <c r="C157" t="str">
        <f>IFERROR(INDEX(Input!$C$2:$C$501,MATCH(156,Input!$J$2:$J$501,0)),"")</f>
        <v/>
      </c>
      <c r="D157" t="str">
        <f>IFERROR(INDEX(Input!$D$2:$D$501,MATCH(156,Input!$J$2:$J$501,0)),"")</f>
        <v/>
      </c>
      <c r="E157" s="3" t="str">
        <f>IFERROR(INDEX(Input!$E$2:$E$501,MATCH(156,Input!$J$2:$J$501,0)),"")</f>
        <v/>
      </c>
      <c r="F157" t="str">
        <f>IFERROR(INDEX(Input!$F$2:$F$501,MATCH(156,Input!$J$2:$J$501,0)),"")</f>
        <v/>
      </c>
      <c r="G157" s="3" t="str">
        <f>IFERROR(INDEX(Input!$G$2:$G$501,MATCH(156,Input!$J$2:$J$501,0)),"")</f>
        <v/>
      </c>
      <c r="H157" t="str">
        <f>IFERROR(INDEX(Input!$H$2:$H$501,MATCH(156,Input!$J$2:$J$501,0)),"")</f>
        <v/>
      </c>
    </row>
    <row r="158" spans="1:8" x14ac:dyDescent="0.35">
      <c r="A158" t="str">
        <f>IFERROR(INDEX(Input!$A$2:$A$501,MATCH(157,Input!$J$2:$J$501,0)),"")</f>
        <v/>
      </c>
      <c r="B158" t="str">
        <f>IFERROR(INDEX(Input!$B$2:$B$501,MATCH(157,Input!$J$2:$J$501,0)),"")</f>
        <v/>
      </c>
      <c r="C158" t="str">
        <f>IFERROR(INDEX(Input!$C$2:$C$501,MATCH(157,Input!$J$2:$J$501,0)),"")</f>
        <v/>
      </c>
      <c r="D158" t="str">
        <f>IFERROR(INDEX(Input!$D$2:$D$501,MATCH(157,Input!$J$2:$J$501,0)),"")</f>
        <v/>
      </c>
      <c r="E158" s="3" t="str">
        <f>IFERROR(INDEX(Input!$E$2:$E$501,MATCH(157,Input!$J$2:$J$501,0)),"")</f>
        <v/>
      </c>
      <c r="F158" t="str">
        <f>IFERROR(INDEX(Input!$F$2:$F$501,MATCH(157,Input!$J$2:$J$501,0)),"")</f>
        <v/>
      </c>
      <c r="G158" s="3" t="str">
        <f>IFERROR(INDEX(Input!$G$2:$G$501,MATCH(157,Input!$J$2:$J$501,0)),"")</f>
        <v/>
      </c>
      <c r="H158" t="str">
        <f>IFERROR(INDEX(Input!$H$2:$H$501,MATCH(157,Input!$J$2:$J$501,0)),"")</f>
        <v/>
      </c>
    </row>
    <row r="159" spans="1:8" x14ac:dyDescent="0.35">
      <c r="A159" t="str">
        <f>IFERROR(INDEX(Input!$A$2:$A$501,MATCH(158,Input!$J$2:$J$501,0)),"")</f>
        <v/>
      </c>
      <c r="B159" t="str">
        <f>IFERROR(INDEX(Input!$B$2:$B$501,MATCH(158,Input!$J$2:$J$501,0)),"")</f>
        <v/>
      </c>
      <c r="C159" t="str">
        <f>IFERROR(INDEX(Input!$C$2:$C$501,MATCH(158,Input!$J$2:$J$501,0)),"")</f>
        <v/>
      </c>
      <c r="D159" t="str">
        <f>IFERROR(INDEX(Input!$D$2:$D$501,MATCH(158,Input!$J$2:$J$501,0)),"")</f>
        <v/>
      </c>
      <c r="E159" s="3" t="str">
        <f>IFERROR(INDEX(Input!$E$2:$E$501,MATCH(158,Input!$J$2:$J$501,0)),"")</f>
        <v/>
      </c>
      <c r="F159" t="str">
        <f>IFERROR(INDEX(Input!$F$2:$F$501,MATCH(158,Input!$J$2:$J$501,0)),"")</f>
        <v/>
      </c>
      <c r="G159" s="3" t="str">
        <f>IFERROR(INDEX(Input!$G$2:$G$501,MATCH(158,Input!$J$2:$J$501,0)),"")</f>
        <v/>
      </c>
      <c r="H159" t="str">
        <f>IFERROR(INDEX(Input!$H$2:$H$501,MATCH(158,Input!$J$2:$J$501,0)),"")</f>
        <v/>
      </c>
    </row>
    <row r="160" spans="1:8" x14ac:dyDescent="0.35">
      <c r="A160" t="str">
        <f>IFERROR(INDEX(Input!$A$2:$A$501,MATCH(159,Input!$J$2:$J$501,0)),"")</f>
        <v/>
      </c>
      <c r="B160" t="str">
        <f>IFERROR(INDEX(Input!$B$2:$B$501,MATCH(159,Input!$J$2:$J$501,0)),"")</f>
        <v/>
      </c>
      <c r="C160" t="str">
        <f>IFERROR(INDEX(Input!$C$2:$C$501,MATCH(159,Input!$J$2:$J$501,0)),"")</f>
        <v/>
      </c>
      <c r="D160" t="str">
        <f>IFERROR(INDEX(Input!$D$2:$D$501,MATCH(159,Input!$J$2:$J$501,0)),"")</f>
        <v/>
      </c>
      <c r="E160" s="3" t="str">
        <f>IFERROR(INDEX(Input!$E$2:$E$501,MATCH(159,Input!$J$2:$J$501,0)),"")</f>
        <v/>
      </c>
      <c r="F160" t="str">
        <f>IFERROR(INDEX(Input!$F$2:$F$501,MATCH(159,Input!$J$2:$J$501,0)),"")</f>
        <v/>
      </c>
      <c r="G160" s="3" t="str">
        <f>IFERROR(INDEX(Input!$G$2:$G$501,MATCH(159,Input!$J$2:$J$501,0)),"")</f>
        <v/>
      </c>
      <c r="H160" t="str">
        <f>IFERROR(INDEX(Input!$H$2:$H$501,MATCH(159,Input!$J$2:$J$501,0)),"")</f>
        <v/>
      </c>
    </row>
    <row r="161" spans="1:8" x14ac:dyDescent="0.35">
      <c r="A161" t="str">
        <f>IFERROR(INDEX(Input!$A$2:$A$501,MATCH(160,Input!$J$2:$J$501,0)),"")</f>
        <v/>
      </c>
      <c r="B161" t="str">
        <f>IFERROR(INDEX(Input!$B$2:$B$501,MATCH(160,Input!$J$2:$J$501,0)),"")</f>
        <v/>
      </c>
      <c r="C161" t="str">
        <f>IFERROR(INDEX(Input!$C$2:$C$501,MATCH(160,Input!$J$2:$J$501,0)),"")</f>
        <v/>
      </c>
      <c r="D161" t="str">
        <f>IFERROR(INDEX(Input!$D$2:$D$501,MATCH(160,Input!$J$2:$J$501,0)),"")</f>
        <v/>
      </c>
      <c r="E161" s="3" t="str">
        <f>IFERROR(INDEX(Input!$E$2:$E$501,MATCH(160,Input!$J$2:$J$501,0)),"")</f>
        <v/>
      </c>
      <c r="F161" t="str">
        <f>IFERROR(INDEX(Input!$F$2:$F$501,MATCH(160,Input!$J$2:$J$501,0)),"")</f>
        <v/>
      </c>
      <c r="G161" s="3" t="str">
        <f>IFERROR(INDEX(Input!$G$2:$G$501,MATCH(160,Input!$J$2:$J$501,0)),"")</f>
        <v/>
      </c>
      <c r="H161" t="str">
        <f>IFERROR(INDEX(Input!$H$2:$H$501,MATCH(160,Input!$J$2:$J$501,0)),"")</f>
        <v/>
      </c>
    </row>
    <row r="162" spans="1:8" x14ac:dyDescent="0.35">
      <c r="A162" t="str">
        <f>IFERROR(INDEX(Input!$A$2:$A$501,MATCH(161,Input!$J$2:$J$501,0)),"")</f>
        <v/>
      </c>
      <c r="B162" t="str">
        <f>IFERROR(INDEX(Input!$B$2:$B$501,MATCH(161,Input!$J$2:$J$501,0)),"")</f>
        <v/>
      </c>
      <c r="C162" t="str">
        <f>IFERROR(INDEX(Input!$C$2:$C$501,MATCH(161,Input!$J$2:$J$501,0)),"")</f>
        <v/>
      </c>
      <c r="D162" t="str">
        <f>IFERROR(INDEX(Input!$D$2:$D$501,MATCH(161,Input!$J$2:$J$501,0)),"")</f>
        <v/>
      </c>
      <c r="E162" s="3" t="str">
        <f>IFERROR(INDEX(Input!$E$2:$E$501,MATCH(161,Input!$J$2:$J$501,0)),"")</f>
        <v/>
      </c>
      <c r="F162" t="str">
        <f>IFERROR(INDEX(Input!$F$2:$F$501,MATCH(161,Input!$J$2:$J$501,0)),"")</f>
        <v/>
      </c>
      <c r="G162" s="3" t="str">
        <f>IFERROR(INDEX(Input!$G$2:$G$501,MATCH(161,Input!$J$2:$J$501,0)),"")</f>
        <v/>
      </c>
      <c r="H162" t="str">
        <f>IFERROR(INDEX(Input!$H$2:$H$501,MATCH(161,Input!$J$2:$J$501,0)),"")</f>
        <v/>
      </c>
    </row>
    <row r="163" spans="1:8" x14ac:dyDescent="0.35">
      <c r="A163" t="str">
        <f>IFERROR(INDEX(Input!$A$2:$A$501,MATCH(162,Input!$J$2:$J$501,0)),"")</f>
        <v/>
      </c>
      <c r="B163" t="str">
        <f>IFERROR(INDEX(Input!$B$2:$B$501,MATCH(162,Input!$J$2:$J$501,0)),"")</f>
        <v/>
      </c>
      <c r="C163" t="str">
        <f>IFERROR(INDEX(Input!$C$2:$C$501,MATCH(162,Input!$J$2:$J$501,0)),"")</f>
        <v/>
      </c>
      <c r="D163" t="str">
        <f>IFERROR(INDEX(Input!$D$2:$D$501,MATCH(162,Input!$J$2:$J$501,0)),"")</f>
        <v/>
      </c>
      <c r="E163" s="3" t="str">
        <f>IFERROR(INDEX(Input!$E$2:$E$501,MATCH(162,Input!$J$2:$J$501,0)),"")</f>
        <v/>
      </c>
      <c r="F163" t="str">
        <f>IFERROR(INDEX(Input!$F$2:$F$501,MATCH(162,Input!$J$2:$J$501,0)),"")</f>
        <v/>
      </c>
      <c r="G163" s="3" t="str">
        <f>IFERROR(INDEX(Input!$G$2:$G$501,MATCH(162,Input!$J$2:$J$501,0)),"")</f>
        <v/>
      </c>
      <c r="H163" t="str">
        <f>IFERROR(INDEX(Input!$H$2:$H$501,MATCH(162,Input!$J$2:$J$501,0)),"")</f>
        <v/>
      </c>
    </row>
    <row r="164" spans="1:8" x14ac:dyDescent="0.35">
      <c r="A164" t="str">
        <f>IFERROR(INDEX(Input!$A$2:$A$501,MATCH(163,Input!$J$2:$J$501,0)),"")</f>
        <v/>
      </c>
      <c r="B164" t="str">
        <f>IFERROR(INDEX(Input!$B$2:$B$501,MATCH(163,Input!$J$2:$J$501,0)),"")</f>
        <v/>
      </c>
      <c r="C164" t="str">
        <f>IFERROR(INDEX(Input!$C$2:$C$501,MATCH(163,Input!$J$2:$J$501,0)),"")</f>
        <v/>
      </c>
      <c r="D164" t="str">
        <f>IFERROR(INDEX(Input!$D$2:$D$501,MATCH(163,Input!$J$2:$J$501,0)),"")</f>
        <v/>
      </c>
      <c r="E164" s="3" t="str">
        <f>IFERROR(INDEX(Input!$E$2:$E$501,MATCH(163,Input!$J$2:$J$501,0)),"")</f>
        <v/>
      </c>
      <c r="F164" t="str">
        <f>IFERROR(INDEX(Input!$F$2:$F$501,MATCH(163,Input!$J$2:$J$501,0)),"")</f>
        <v/>
      </c>
      <c r="G164" s="3" t="str">
        <f>IFERROR(INDEX(Input!$G$2:$G$501,MATCH(163,Input!$J$2:$J$501,0)),"")</f>
        <v/>
      </c>
      <c r="H164" t="str">
        <f>IFERROR(INDEX(Input!$H$2:$H$501,MATCH(163,Input!$J$2:$J$501,0)),"")</f>
        <v/>
      </c>
    </row>
    <row r="165" spans="1:8" x14ac:dyDescent="0.35">
      <c r="A165" t="str">
        <f>IFERROR(INDEX(Input!$A$2:$A$501,MATCH(164,Input!$J$2:$J$501,0)),"")</f>
        <v/>
      </c>
      <c r="B165" t="str">
        <f>IFERROR(INDEX(Input!$B$2:$B$501,MATCH(164,Input!$J$2:$J$501,0)),"")</f>
        <v/>
      </c>
      <c r="C165" t="str">
        <f>IFERROR(INDEX(Input!$C$2:$C$501,MATCH(164,Input!$J$2:$J$501,0)),"")</f>
        <v/>
      </c>
      <c r="D165" t="str">
        <f>IFERROR(INDEX(Input!$D$2:$D$501,MATCH(164,Input!$J$2:$J$501,0)),"")</f>
        <v/>
      </c>
      <c r="E165" s="3" t="str">
        <f>IFERROR(INDEX(Input!$E$2:$E$501,MATCH(164,Input!$J$2:$J$501,0)),"")</f>
        <v/>
      </c>
      <c r="F165" t="str">
        <f>IFERROR(INDEX(Input!$F$2:$F$501,MATCH(164,Input!$J$2:$J$501,0)),"")</f>
        <v/>
      </c>
      <c r="G165" s="3" t="str">
        <f>IFERROR(INDEX(Input!$G$2:$G$501,MATCH(164,Input!$J$2:$J$501,0)),"")</f>
        <v/>
      </c>
      <c r="H165" t="str">
        <f>IFERROR(INDEX(Input!$H$2:$H$501,MATCH(164,Input!$J$2:$J$501,0)),"")</f>
        <v/>
      </c>
    </row>
    <row r="166" spans="1:8" x14ac:dyDescent="0.35">
      <c r="A166" t="str">
        <f>IFERROR(INDEX(Input!$A$2:$A$501,MATCH(165,Input!$J$2:$J$501,0)),"")</f>
        <v/>
      </c>
      <c r="B166" t="str">
        <f>IFERROR(INDEX(Input!$B$2:$B$501,MATCH(165,Input!$J$2:$J$501,0)),"")</f>
        <v/>
      </c>
      <c r="C166" t="str">
        <f>IFERROR(INDEX(Input!$C$2:$C$501,MATCH(165,Input!$J$2:$J$501,0)),"")</f>
        <v/>
      </c>
      <c r="D166" t="str">
        <f>IFERROR(INDEX(Input!$D$2:$D$501,MATCH(165,Input!$J$2:$J$501,0)),"")</f>
        <v/>
      </c>
      <c r="E166" s="3" t="str">
        <f>IFERROR(INDEX(Input!$E$2:$E$501,MATCH(165,Input!$J$2:$J$501,0)),"")</f>
        <v/>
      </c>
      <c r="F166" t="str">
        <f>IFERROR(INDEX(Input!$F$2:$F$501,MATCH(165,Input!$J$2:$J$501,0)),"")</f>
        <v/>
      </c>
      <c r="G166" s="3" t="str">
        <f>IFERROR(INDEX(Input!$G$2:$G$501,MATCH(165,Input!$J$2:$J$501,0)),"")</f>
        <v/>
      </c>
      <c r="H166" t="str">
        <f>IFERROR(INDEX(Input!$H$2:$H$501,MATCH(165,Input!$J$2:$J$501,0)),"")</f>
        <v/>
      </c>
    </row>
    <row r="167" spans="1:8" x14ac:dyDescent="0.35">
      <c r="A167" t="str">
        <f>IFERROR(INDEX(Input!$A$2:$A$501,MATCH(166,Input!$J$2:$J$501,0)),"")</f>
        <v/>
      </c>
      <c r="B167" t="str">
        <f>IFERROR(INDEX(Input!$B$2:$B$501,MATCH(166,Input!$J$2:$J$501,0)),"")</f>
        <v/>
      </c>
      <c r="C167" t="str">
        <f>IFERROR(INDEX(Input!$C$2:$C$501,MATCH(166,Input!$J$2:$J$501,0)),"")</f>
        <v/>
      </c>
      <c r="D167" t="str">
        <f>IFERROR(INDEX(Input!$D$2:$D$501,MATCH(166,Input!$J$2:$J$501,0)),"")</f>
        <v/>
      </c>
      <c r="E167" s="3" t="str">
        <f>IFERROR(INDEX(Input!$E$2:$E$501,MATCH(166,Input!$J$2:$J$501,0)),"")</f>
        <v/>
      </c>
      <c r="F167" t="str">
        <f>IFERROR(INDEX(Input!$F$2:$F$501,MATCH(166,Input!$J$2:$J$501,0)),"")</f>
        <v/>
      </c>
      <c r="G167" s="3" t="str">
        <f>IFERROR(INDEX(Input!$G$2:$G$501,MATCH(166,Input!$J$2:$J$501,0)),"")</f>
        <v/>
      </c>
      <c r="H167" t="str">
        <f>IFERROR(INDEX(Input!$H$2:$H$501,MATCH(166,Input!$J$2:$J$501,0)),"")</f>
        <v/>
      </c>
    </row>
    <row r="168" spans="1:8" x14ac:dyDescent="0.35">
      <c r="A168" t="str">
        <f>IFERROR(INDEX(Input!$A$2:$A$501,MATCH(167,Input!$J$2:$J$501,0)),"")</f>
        <v/>
      </c>
      <c r="B168" t="str">
        <f>IFERROR(INDEX(Input!$B$2:$B$501,MATCH(167,Input!$J$2:$J$501,0)),"")</f>
        <v/>
      </c>
      <c r="C168" t="str">
        <f>IFERROR(INDEX(Input!$C$2:$C$501,MATCH(167,Input!$J$2:$J$501,0)),"")</f>
        <v/>
      </c>
      <c r="D168" t="str">
        <f>IFERROR(INDEX(Input!$D$2:$D$501,MATCH(167,Input!$J$2:$J$501,0)),"")</f>
        <v/>
      </c>
      <c r="E168" s="3" t="str">
        <f>IFERROR(INDEX(Input!$E$2:$E$501,MATCH(167,Input!$J$2:$J$501,0)),"")</f>
        <v/>
      </c>
      <c r="F168" t="str">
        <f>IFERROR(INDEX(Input!$F$2:$F$501,MATCH(167,Input!$J$2:$J$501,0)),"")</f>
        <v/>
      </c>
      <c r="G168" s="3" t="str">
        <f>IFERROR(INDEX(Input!$G$2:$G$501,MATCH(167,Input!$J$2:$J$501,0)),"")</f>
        <v/>
      </c>
      <c r="H168" t="str">
        <f>IFERROR(INDEX(Input!$H$2:$H$501,MATCH(167,Input!$J$2:$J$501,0)),"")</f>
        <v/>
      </c>
    </row>
    <row r="169" spans="1:8" x14ac:dyDescent="0.35">
      <c r="A169" t="str">
        <f>IFERROR(INDEX(Input!$A$2:$A$501,MATCH(168,Input!$J$2:$J$501,0)),"")</f>
        <v/>
      </c>
      <c r="B169" t="str">
        <f>IFERROR(INDEX(Input!$B$2:$B$501,MATCH(168,Input!$J$2:$J$501,0)),"")</f>
        <v/>
      </c>
      <c r="C169" t="str">
        <f>IFERROR(INDEX(Input!$C$2:$C$501,MATCH(168,Input!$J$2:$J$501,0)),"")</f>
        <v/>
      </c>
      <c r="D169" t="str">
        <f>IFERROR(INDEX(Input!$D$2:$D$501,MATCH(168,Input!$J$2:$J$501,0)),"")</f>
        <v/>
      </c>
      <c r="E169" s="3" t="str">
        <f>IFERROR(INDEX(Input!$E$2:$E$501,MATCH(168,Input!$J$2:$J$501,0)),"")</f>
        <v/>
      </c>
      <c r="F169" t="str">
        <f>IFERROR(INDEX(Input!$F$2:$F$501,MATCH(168,Input!$J$2:$J$501,0)),"")</f>
        <v/>
      </c>
      <c r="G169" s="3" t="str">
        <f>IFERROR(INDEX(Input!$G$2:$G$501,MATCH(168,Input!$J$2:$J$501,0)),"")</f>
        <v/>
      </c>
      <c r="H169" t="str">
        <f>IFERROR(INDEX(Input!$H$2:$H$501,MATCH(168,Input!$J$2:$J$501,0)),"")</f>
        <v/>
      </c>
    </row>
    <row r="170" spans="1:8" x14ac:dyDescent="0.35">
      <c r="A170" t="str">
        <f>IFERROR(INDEX(Input!$A$2:$A$501,MATCH(169,Input!$J$2:$J$501,0)),"")</f>
        <v/>
      </c>
      <c r="B170" t="str">
        <f>IFERROR(INDEX(Input!$B$2:$B$501,MATCH(169,Input!$J$2:$J$501,0)),"")</f>
        <v/>
      </c>
      <c r="C170" t="str">
        <f>IFERROR(INDEX(Input!$C$2:$C$501,MATCH(169,Input!$J$2:$J$501,0)),"")</f>
        <v/>
      </c>
      <c r="D170" t="str">
        <f>IFERROR(INDEX(Input!$D$2:$D$501,MATCH(169,Input!$J$2:$J$501,0)),"")</f>
        <v/>
      </c>
      <c r="E170" s="3" t="str">
        <f>IFERROR(INDEX(Input!$E$2:$E$501,MATCH(169,Input!$J$2:$J$501,0)),"")</f>
        <v/>
      </c>
      <c r="F170" t="str">
        <f>IFERROR(INDEX(Input!$F$2:$F$501,MATCH(169,Input!$J$2:$J$501,0)),"")</f>
        <v/>
      </c>
      <c r="G170" s="3" t="str">
        <f>IFERROR(INDEX(Input!$G$2:$G$501,MATCH(169,Input!$J$2:$J$501,0)),"")</f>
        <v/>
      </c>
      <c r="H170" t="str">
        <f>IFERROR(INDEX(Input!$H$2:$H$501,MATCH(169,Input!$J$2:$J$501,0)),"")</f>
        <v/>
      </c>
    </row>
    <row r="171" spans="1:8" x14ac:dyDescent="0.35">
      <c r="A171" t="str">
        <f>IFERROR(INDEX(Input!$A$2:$A$501,MATCH(170,Input!$J$2:$J$501,0)),"")</f>
        <v/>
      </c>
      <c r="B171" t="str">
        <f>IFERROR(INDEX(Input!$B$2:$B$501,MATCH(170,Input!$J$2:$J$501,0)),"")</f>
        <v/>
      </c>
      <c r="C171" t="str">
        <f>IFERROR(INDEX(Input!$C$2:$C$501,MATCH(170,Input!$J$2:$J$501,0)),"")</f>
        <v/>
      </c>
      <c r="D171" t="str">
        <f>IFERROR(INDEX(Input!$D$2:$D$501,MATCH(170,Input!$J$2:$J$501,0)),"")</f>
        <v/>
      </c>
      <c r="E171" s="3" t="str">
        <f>IFERROR(INDEX(Input!$E$2:$E$501,MATCH(170,Input!$J$2:$J$501,0)),"")</f>
        <v/>
      </c>
      <c r="F171" t="str">
        <f>IFERROR(INDEX(Input!$F$2:$F$501,MATCH(170,Input!$J$2:$J$501,0)),"")</f>
        <v/>
      </c>
      <c r="G171" s="3" t="str">
        <f>IFERROR(INDEX(Input!$G$2:$G$501,MATCH(170,Input!$J$2:$J$501,0)),"")</f>
        <v/>
      </c>
      <c r="H171" t="str">
        <f>IFERROR(INDEX(Input!$H$2:$H$501,MATCH(170,Input!$J$2:$J$501,0)),"")</f>
        <v/>
      </c>
    </row>
    <row r="172" spans="1:8" x14ac:dyDescent="0.35">
      <c r="A172" t="str">
        <f>IFERROR(INDEX(Input!$A$2:$A$501,MATCH(171,Input!$J$2:$J$501,0)),"")</f>
        <v/>
      </c>
      <c r="B172" t="str">
        <f>IFERROR(INDEX(Input!$B$2:$B$501,MATCH(171,Input!$J$2:$J$501,0)),"")</f>
        <v/>
      </c>
      <c r="C172" t="str">
        <f>IFERROR(INDEX(Input!$C$2:$C$501,MATCH(171,Input!$J$2:$J$501,0)),"")</f>
        <v/>
      </c>
      <c r="D172" t="str">
        <f>IFERROR(INDEX(Input!$D$2:$D$501,MATCH(171,Input!$J$2:$J$501,0)),"")</f>
        <v/>
      </c>
      <c r="E172" s="3" t="str">
        <f>IFERROR(INDEX(Input!$E$2:$E$501,MATCH(171,Input!$J$2:$J$501,0)),"")</f>
        <v/>
      </c>
      <c r="F172" t="str">
        <f>IFERROR(INDEX(Input!$F$2:$F$501,MATCH(171,Input!$J$2:$J$501,0)),"")</f>
        <v/>
      </c>
      <c r="G172" s="3" t="str">
        <f>IFERROR(INDEX(Input!$G$2:$G$501,MATCH(171,Input!$J$2:$J$501,0)),"")</f>
        <v/>
      </c>
      <c r="H172" t="str">
        <f>IFERROR(INDEX(Input!$H$2:$H$501,MATCH(171,Input!$J$2:$J$501,0)),"")</f>
        <v/>
      </c>
    </row>
    <row r="173" spans="1:8" x14ac:dyDescent="0.35">
      <c r="A173" t="str">
        <f>IFERROR(INDEX(Input!$A$2:$A$501,MATCH(172,Input!$J$2:$J$501,0)),"")</f>
        <v/>
      </c>
      <c r="B173" t="str">
        <f>IFERROR(INDEX(Input!$B$2:$B$501,MATCH(172,Input!$J$2:$J$501,0)),"")</f>
        <v/>
      </c>
      <c r="C173" t="str">
        <f>IFERROR(INDEX(Input!$C$2:$C$501,MATCH(172,Input!$J$2:$J$501,0)),"")</f>
        <v/>
      </c>
      <c r="D173" t="str">
        <f>IFERROR(INDEX(Input!$D$2:$D$501,MATCH(172,Input!$J$2:$J$501,0)),"")</f>
        <v/>
      </c>
      <c r="E173" s="3" t="str">
        <f>IFERROR(INDEX(Input!$E$2:$E$501,MATCH(172,Input!$J$2:$J$501,0)),"")</f>
        <v/>
      </c>
      <c r="F173" t="str">
        <f>IFERROR(INDEX(Input!$F$2:$F$501,MATCH(172,Input!$J$2:$J$501,0)),"")</f>
        <v/>
      </c>
      <c r="G173" s="3" t="str">
        <f>IFERROR(INDEX(Input!$G$2:$G$501,MATCH(172,Input!$J$2:$J$501,0)),"")</f>
        <v/>
      </c>
      <c r="H173" t="str">
        <f>IFERROR(INDEX(Input!$H$2:$H$501,MATCH(172,Input!$J$2:$J$501,0)),"")</f>
        <v/>
      </c>
    </row>
    <row r="174" spans="1:8" x14ac:dyDescent="0.35">
      <c r="A174" t="str">
        <f>IFERROR(INDEX(Input!$A$2:$A$501,MATCH(173,Input!$J$2:$J$501,0)),"")</f>
        <v/>
      </c>
      <c r="B174" t="str">
        <f>IFERROR(INDEX(Input!$B$2:$B$501,MATCH(173,Input!$J$2:$J$501,0)),"")</f>
        <v/>
      </c>
      <c r="C174" t="str">
        <f>IFERROR(INDEX(Input!$C$2:$C$501,MATCH(173,Input!$J$2:$J$501,0)),"")</f>
        <v/>
      </c>
      <c r="D174" t="str">
        <f>IFERROR(INDEX(Input!$D$2:$D$501,MATCH(173,Input!$J$2:$J$501,0)),"")</f>
        <v/>
      </c>
      <c r="E174" s="3" t="str">
        <f>IFERROR(INDEX(Input!$E$2:$E$501,MATCH(173,Input!$J$2:$J$501,0)),"")</f>
        <v/>
      </c>
      <c r="F174" t="str">
        <f>IFERROR(INDEX(Input!$F$2:$F$501,MATCH(173,Input!$J$2:$J$501,0)),"")</f>
        <v/>
      </c>
      <c r="G174" s="3" t="str">
        <f>IFERROR(INDEX(Input!$G$2:$G$501,MATCH(173,Input!$J$2:$J$501,0)),"")</f>
        <v/>
      </c>
      <c r="H174" t="str">
        <f>IFERROR(INDEX(Input!$H$2:$H$501,MATCH(173,Input!$J$2:$J$501,0)),"")</f>
        <v/>
      </c>
    </row>
    <row r="175" spans="1:8" x14ac:dyDescent="0.35">
      <c r="A175" t="str">
        <f>IFERROR(INDEX(Input!$A$2:$A$501,MATCH(174,Input!$J$2:$J$501,0)),"")</f>
        <v/>
      </c>
      <c r="B175" t="str">
        <f>IFERROR(INDEX(Input!$B$2:$B$501,MATCH(174,Input!$J$2:$J$501,0)),"")</f>
        <v/>
      </c>
      <c r="C175" t="str">
        <f>IFERROR(INDEX(Input!$C$2:$C$501,MATCH(174,Input!$J$2:$J$501,0)),"")</f>
        <v/>
      </c>
      <c r="D175" t="str">
        <f>IFERROR(INDEX(Input!$D$2:$D$501,MATCH(174,Input!$J$2:$J$501,0)),"")</f>
        <v/>
      </c>
      <c r="E175" s="3" t="str">
        <f>IFERROR(INDEX(Input!$E$2:$E$501,MATCH(174,Input!$J$2:$J$501,0)),"")</f>
        <v/>
      </c>
      <c r="F175" t="str">
        <f>IFERROR(INDEX(Input!$F$2:$F$501,MATCH(174,Input!$J$2:$J$501,0)),"")</f>
        <v/>
      </c>
      <c r="G175" s="3" t="str">
        <f>IFERROR(INDEX(Input!$G$2:$G$501,MATCH(174,Input!$J$2:$J$501,0)),"")</f>
        <v/>
      </c>
      <c r="H175" t="str">
        <f>IFERROR(INDEX(Input!$H$2:$H$501,MATCH(174,Input!$J$2:$J$501,0)),"")</f>
        <v/>
      </c>
    </row>
    <row r="176" spans="1:8" x14ac:dyDescent="0.35">
      <c r="A176" t="str">
        <f>IFERROR(INDEX(Input!$A$2:$A$501,MATCH(175,Input!$J$2:$J$501,0)),"")</f>
        <v/>
      </c>
      <c r="B176" t="str">
        <f>IFERROR(INDEX(Input!$B$2:$B$501,MATCH(175,Input!$J$2:$J$501,0)),"")</f>
        <v/>
      </c>
      <c r="C176" t="str">
        <f>IFERROR(INDEX(Input!$C$2:$C$501,MATCH(175,Input!$J$2:$J$501,0)),"")</f>
        <v/>
      </c>
      <c r="D176" t="str">
        <f>IFERROR(INDEX(Input!$D$2:$D$501,MATCH(175,Input!$J$2:$J$501,0)),"")</f>
        <v/>
      </c>
      <c r="E176" s="3" t="str">
        <f>IFERROR(INDEX(Input!$E$2:$E$501,MATCH(175,Input!$J$2:$J$501,0)),"")</f>
        <v/>
      </c>
      <c r="F176" t="str">
        <f>IFERROR(INDEX(Input!$F$2:$F$501,MATCH(175,Input!$J$2:$J$501,0)),"")</f>
        <v/>
      </c>
      <c r="G176" s="3" t="str">
        <f>IFERROR(INDEX(Input!$G$2:$G$501,MATCH(175,Input!$J$2:$J$501,0)),"")</f>
        <v/>
      </c>
      <c r="H176" t="str">
        <f>IFERROR(INDEX(Input!$H$2:$H$501,MATCH(175,Input!$J$2:$J$501,0)),"")</f>
        <v/>
      </c>
    </row>
    <row r="177" spans="1:8" x14ac:dyDescent="0.35">
      <c r="A177" t="str">
        <f>IFERROR(INDEX(Input!$A$2:$A$501,MATCH(176,Input!$J$2:$J$501,0)),"")</f>
        <v/>
      </c>
      <c r="B177" t="str">
        <f>IFERROR(INDEX(Input!$B$2:$B$501,MATCH(176,Input!$J$2:$J$501,0)),"")</f>
        <v/>
      </c>
      <c r="C177" t="str">
        <f>IFERROR(INDEX(Input!$C$2:$C$501,MATCH(176,Input!$J$2:$J$501,0)),"")</f>
        <v/>
      </c>
      <c r="D177" t="str">
        <f>IFERROR(INDEX(Input!$D$2:$D$501,MATCH(176,Input!$J$2:$J$501,0)),"")</f>
        <v/>
      </c>
      <c r="E177" s="3" t="str">
        <f>IFERROR(INDEX(Input!$E$2:$E$501,MATCH(176,Input!$J$2:$J$501,0)),"")</f>
        <v/>
      </c>
      <c r="F177" t="str">
        <f>IFERROR(INDEX(Input!$F$2:$F$501,MATCH(176,Input!$J$2:$J$501,0)),"")</f>
        <v/>
      </c>
      <c r="G177" s="3" t="str">
        <f>IFERROR(INDEX(Input!$G$2:$G$501,MATCH(176,Input!$J$2:$J$501,0)),"")</f>
        <v/>
      </c>
      <c r="H177" t="str">
        <f>IFERROR(INDEX(Input!$H$2:$H$501,MATCH(176,Input!$J$2:$J$501,0)),"")</f>
        <v/>
      </c>
    </row>
    <row r="178" spans="1:8" x14ac:dyDescent="0.35">
      <c r="A178" t="str">
        <f>IFERROR(INDEX(Input!$A$2:$A$501,MATCH(177,Input!$J$2:$J$501,0)),"")</f>
        <v/>
      </c>
      <c r="B178" t="str">
        <f>IFERROR(INDEX(Input!$B$2:$B$501,MATCH(177,Input!$J$2:$J$501,0)),"")</f>
        <v/>
      </c>
      <c r="C178" t="str">
        <f>IFERROR(INDEX(Input!$C$2:$C$501,MATCH(177,Input!$J$2:$J$501,0)),"")</f>
        <v/>
      </c>
      <c r="D178" t="str">
        <f>IFERROR(INDEX(Input!$D$2:$D$501,MATCH(177,Input!$J$2:$J$501,0)),"")</f>
        <v/>
      </c>
      <c r="E178" s="3" t="str">
        <f>IFERROR(INDEX(Input!$E$2:$E$501,MATCH(177,Input!$J$2:$J$501,0)),"")</f>
        <v/>
      </c>
      <c r="F178" t="str">
        <f>IFERROR(INDEX(Input!$F$2:$F$501,MATCH(177,Input!$J$2:$J$501,0)),"")</f>
        <v/>
      </c>
      <c r="G178" s="3" t="str">
        <f>IFERROR(INDEX(Input!$G$2:$G$501,MATCH(177,Input!$J$2:$J$501,0)),"")</f>
        <v/>
      </c>
      <c r="H178" t="str">
        <f>IFERROR(INDEX(Input!$H$2:$H$501,MATCH(177,Input!$J$2:$J$501,0)),"")</f>
        <v/>
      </c>
    </row>
    <row r="179" spans="1:8" x14ac:dyDescent="0.35">
      <c r="A179" t="str">
        <f>IFERROR(INDEX(Input!$A$2:$A$501,MATCH(178,Input!$J$2:$J$501,0)),"")</f>
        <v/>
      </c>
      <c r="B179" t="str">
        <f>IFERROR(INDEX(Input!$B$2:$B$501,MATCH(178,Input!$J$2:$J$501,0)),"")</f>
        <v/>
      </c>
      <c r="C179" t="str">
        <f>IFERROR(INDEX(Input!$C$2:$C$501,MATCH(178,Input!$J$2:$J$501,0)),"")</f>
        <v/>
      </c>
      <c r="D179" t="str">
        <f>IFERROR(INDEX(Input!$D$2:$D$501,MATCH(178,Input!$J$2:$J$501,0)),"")</f>
        <v/>
      </c>
      <c r="E179" s="3" t="str">
        <f>IFERROR(INDEX(Input!$E$2:$E$501,MATCH(178,Input!$J$2:$J$501,0)),"")</f>
        <v/>
      </c>
      <c r="F179" t="str">
        <f>IFERROR(INDEX(Input!$F$2:$F$501,MATCH(178,Input!$J$2:$J$501,0)),"")</f>
        <v/>
      </c>
      <c r="G179" s="3" t="str">
        <f>IFERROR(INDEX(Input!$G$2:$G$501,MATCH(178,Input!$J$2:$J$501,0)),"")</f>
        <v/>
      </c>
      <c r="H179" t="str">
        <f>IFERROR(INDEX(Input!$H$2:$H$501,MATCH(178,Input!$J$2:$J$501,0)),"")</f>
        <v/>
      </c>
    </row>
    <row r="180" spans="1:8" x14ac:dyDescent="0.35">
      <c r="A180" t="str">
        <f>IFERROR(INDEX(Input!$A$2:$A$501,MATCH(179,Input!$J$2:$J$501,0)),"")</f>
        <v/>
      </c>
      <c r="B180" t="str">
        <f>IFERROR(INDEX(Input!$B$2:$B$501,MATCH(179,Input!$J$2:$J$501,0)),"")</f>
        <v/>
      </c>
      <c r="C180" t="str">
        <f>IFERROR(INDEX(Input!$C$2:$C$501,MATCH(179,Input!$J$2:$J$501,0)),"")</f>
        <v/>
      </c>
      <c r="D180" t="str">
        <f>IFERROR(INDEX(Input!$D$2:$D$501,MATCH(179,Input!$J$2:$J$501,0)),"")</f>
        <v/>
      </c>
      <c r="E180" s="3" t="str">
        <f>IFERROR(INDEX(Input!$E$2:$E$501,MATCH(179,Input!$J$2:$J$501,0)),"")</f>
        <v/>
      </c>
      <c r="F180" t="str">
        <f>IFERROR(INDEX(Input!$F$2:$F$501,MATCH(179,Input!$J$2:$J$501,0)),"")</f>
        <v/>
      </c>
      <c r="G180" s="3" t="str">
        <f>IFERROR(INDEX(Input!$G$2:$G$501,MATCH(179,Input!$J$2:$J$501,0)),"")</f>
        <v/>
      </c>
      <c r="H180" t="str">
        <f>IFERROR(INDEX(Input!$H$2:$H$501,MATCH(179,Input!$J$2:$J$501,0)),"")</f>
        <v/>
      </c>
    </row>
    <row r="181" spans="1:8" x14ac:dyDescent="0.35">
      <c r="A181" t="str">
        <f>IFERROR(INDEX(Input!$A$2:$A$501,MATCH(180,Input!$J$2:$J$501,0)),"")</f>
        <v/>
      </c>
      <c r="B181" t="str">
        <f>IFERROR(INDEX(Input!$B$2:$B$501,MATCH(180,Input!$J$2:$J$501,0)),"")</f>
        <v/>
      </c>
      <c r="C181" t="str">
        <f>IFERROR(INDEX(Input!$C$2:$C$501,MATCH(180,Input!$J$2:$J$501,0)),"")</f>
        <v/>
      </c>
      <c r="D181" t="str">
        <f>IFERROR(INDEX(Input!$D$2:$D$501,MATCH(180,Input!$J$2:$J$501,0)),"")</f>
        <v/>
      </c>
      <c r="E181" s="3" t="str">
        <f>IFERROR(INDEX(Input!$E$2:$E$501,MATCH(180,Input!$J$2:$J$501,0)),"")</f>
        <v/>
      </c>
      <c r="F181" t="str">
        <f>IFERROR(INDEX(Input!$F$2:$F$501,MATCH(180,Input!$J$2:$J$501,0)),"")</f>
        <v/>
      </c>
      <c r="G181" s="3" t="str">
        <f>IFERROR(INDEX(Input!$G$2:$G$501,MATCH(180,Input!$J$2:$J$501,0)),"")</f>
        <v/>
      </c>
      <c r="H181" t="str">
        <f>IFERROR(INDEX(Input!$H$2:$H$501,MATCH(180,Input!$J$2:$J$501,0)),"")</f>
        <v/>
      </c>
    </row>
    <row r="182" spans="1:8" x14ac:dyDescent="0.35">
      <c r="A182" t="str">
        <f>IFERROR(INDEX(Input!$A$2:$A$501,MATCH(181,Input!$J$2:$J$501,0)),"")</f>
        <v/>
      </c>
      <c r="B182" t="str">
        <f>IFERROR(INDEX(Input!$B$2:$B$501,MATCH(181,Input!$J$2:$J$501,0)),"")</f>
        <v/>
      </c>
      <c r="C182" t="str">
        <f>IFERROR(INDEX(Input!$C$2:$C$501,MATCH(181,Input!$J$2:$J$501,0)),"")</f>
        <v/>
      </c>
      <c r="D182" t="str">
        <f>IFERROR(INDEX(Input!$D$2:$D$501,MATCH(181,Input!$J$2:$J$501,0)),"")</f>
        <v/>
      </c>
      <c r="E182" s="3" t="str">
        <f>IFERROR(INDEX(Input!$E$2:$E$501,MATCH(181,Input!$J$2:$J$501,0)),"")</f>
        <v/>
      </c>
      <c r="F182" t="str">
        <f>IFERROR(INDEX(Input!$F$2:$F$501,MATCH(181,Input!$J$2:$J$501,0)),"")</f>
        <v/>
      </c>
      <c r="G182" s="3" t="str">
        <f>IFERROR(INDEX(Input!$G$2:$G$501,MATCH(181,Input!$J$2:$J$501,0)),"")</f>
        <v/>
      </c>
      <c r="H182" t="str">
        <f>IFERROR(INDEX(Input!$H$2:$H$501,MATCH(181,Input!$J$2:$J$501,0)),"")</f>
        <v/>
      </c>
    </row>
    <row r="183" spans="1:8" x14ac:dyDescent="0.35">
      <c r="A183" t="str">
        <f>IFERROR(INDEX(Input!$A$2:$A$501,MATCH(182,Input!$J$2:$J$501,0)),"")</f>
        <v/>
      </c>
      <c r="B183" t="str">
        <f>IFERROR(INDEX(Input!$B$2:$B$501,MATCH(182,Input!$J$2:$J$501,0)),"")</f>
        <v/>
      </c>
      <c r="C183" t="str">
        <f>IFERROR(INDEX(Input!$C$2:$C$501,MATCH(182,Input!$J$2:$J$501,0)),"")</f>
        <v/>
      </c>
      <c r="D183" t="str">
        <f>IFERROR(INDEX(Input!$D$2:$D$501,MATCH(182,Input!$J$2:$J$501,0)),"")</f>
        <v/>
      </c>
      <c r="E183" s="3" t="str">
        <f>IFERROR(INDEX(Input!$E$2:$E$501,MATCH(182,Input!$J$2:$J$501,0)),"")</f>
        <v/>
      </c>
      <c r="F183" t="str">
        <f>IFERROR(INDEX(Input!$F$2:$F$501,MATCH(182,Input!$J$2:$J$501,0)),"")</f>
        <v/>
      </c>
      <c r="G183" s="3" t="str">
        <f>IFERROR(INDEX(Input!$G$2:$G$501,MATCH(182,Input!$J$2:$J$501,0)),"")</f>
        <v/>
      </c>
      <c r="H183" t="str">
        <f>IFERROR(INDEX(Input!$H$2:$H$501,MATCH(182,Input!$J$2:$J$501,0)),"")</f>
        <v/>
      </c>
    </row>
    <row r="184" spans="1:8" x14ac:dyDescent="0.35">
      <c r="A184" t="str">
        <f>IFERROR(INDEX(Input!$A$2:$A$501,MATCH(183,Input!$J$2:$J$501,0)),"")</f>
        <v/>
      </c>
      <c r="B184" t="str">
        <f>IFERROR(INDEX(Input!$B$2:$B$501,MATCH(183,Input!$J$2:$J$501,0)),"")</f>
        <v/>
      </c>
      <c r="C184" t="str">
        <f>IFERROR(INDEX(Input!$C$2:$C$501,MATCH(183,Input!$J$2:$J$501,0)),"")</f>
        <v/>
      </c>
      <c r="D184" t="str">
        <f>IFERROR(INDEX(Input!$D$2:$D$501,MATCH(183,Input!$J$2:$J$501,0)),"")</f>
        <v/>
      </c>
      <c r="E184" s="3" t="str">
        <f>IFERROR(INDEX(Input!$E$2:$E$501,MATCH(183,Input!$J$2:$J$501,0)),"")</f>
        <v/>
      </c>
      <c r="F184" t="str">
        <f>IFERROR(INDEX(Input!$F$2:$F$501,MATCH(183,Input!$J$2:$J$501,0)),"")</f>
        <v/>
      </c>
      <c r="G184" s="3" t="str">
        <f>IFERROR(INDEX(Input!$G$2:$G$501,MATCH(183,Input!$J$2:$J$501,0)),"")</f>
        <v/>
      </c>
      <c r="H184" t="str">
        <f>IFERROR(INDEX(Input!$H$2:$H$501,MATCH(183,Input!$J$2:$J$501,0)),"")</f>
        <v/>
      </c>
    </row>
    <row r="185" spans="1:8" x14ac:dyDescent="0.35">
      <c r="A185" t="str">
        <f>IFERROR(INDEX(Input!$A$2:$A$501,MATCH(184,Input!$J$2:$J$501,0)),"")</f>
        <v/>
      </c>
      <c r="B185" t="str">
        <f>IFERROR(INDEX(Input!$B$2:$B$501,MATCH(184,Input!$J$2:$J$501,0)),"")</f>
        <v/>
      </c>
      <c r="C185" t="str">
        <f>IFERROR(INDEX(Input!$C$2:$C$501,MATCH(184,Input!$J$2:$J$501,0)),"")</f>
        <v/>
      </c>
      <c r="D185" t="str">
        <f>IFERROR(INDEX(Input!$D$2:$D$501,MATCH(184,Input!$J$2:$J$501,0)),"")</f>
        <v/>
      </c>
      <c r="E185" s="3" t="str">
        <f>IFERROR(INDEX(Input!$E$2:$E$501,MATCH(184,Input!$J$2:$J$501,0)),"")</f>
        <v/>
      </c>
      <c r="F185" t="str">
        <f>IFERROR(INDEX(Input!$F$2:$F$501,MATCH(184,Input!$J$2:$J$501,0)),"")</f>
        <v/>
      </c>
      <c r="G185" s="3" t="str">
        <f>IFERROR(INDEX(Input!$G$2:$G$501,MATCH(184,Input!$J$2:$J$501,0)),"")</f>
        <v/>
      </c>
      <c r="H185" t="str">
        <f>IFERROR(INDEX(Input!$H$2:$H$501,MATCH(184,Input!$J$2:$J$501,0)),"")</f>
        <v/>
      </c>
    </row>
    <row r="186" spans="1:8" x14ac:dyDescent="0.35">
      <c r="A186" t="str">
        <f>IFERROR(INDEX(Input!$A$2:$A$501,MATCH(185,Input!$J$2:$J$501,0)),"")</f>
        <v/>
      </c>
      <c r="B186" t="str">
        <f>IFERROR(INDEX(Input!$B$2:$B$501,MATCH(185,Input!$J$2:$J$501,0)),"")</f>
        <v/>
      </c>
      <c r="C186" t="str">
        <f>IFERROR(INDEX(Input!$C$2:$C$501,MATCH(185,Input!$J$2:$J$501,0)),"")</f>
        <v/>
      </c>
      <c r="D186" t="str">
        <f>IFERROR(INDEX(Input!$D$2:$D$501,MATCH(185,Input!$J$2:$J$501,0)),"")</f>
        <v/>
      </c>
      <c r="E186" s="3" t="str">
        <f>IFERROR(INDEX(Input!$E$2:$E$501,MATCH(185,Input!$J$2:$J$501,0)),"")</f>
        <v/>
      </c>
      <c r="F186" t="str">
        <f>IFERROR(INDEX(Input!$F$2:$F$501,MATCH(185,Input!$J$2:$J$501,0)),"")</f>
        <v/>
      </c>
      <c r="G186" s="3" t="str">
        <f>IFERROR(INDEX(Input!$G$2:$G$501,MATCH(185,Input!$J$2:$J$501,0)),"")</f>
        <v/>
      </c>
      <c r="H186" t="str">
        <f>IFERROR(INDEX(Input!$H$2:$H$501,MATCH(185,Input!$J$2:$J$501,0)),"")</f>
        <v/>
      </c>
    </row>
    <row r="187" spans="1:8" x14ac:dyDescent="0.35">
      <c r="A187" t="str">
        <f>IFERROR(INDEX(Input!$A$2:$A$501,MATCH(186,Input!$J$2:$J$501,0)),"")</f>
        <v/>
      </c>
      <c r="B187" t="str">
        <f>IFERROR(INDEX(Input!$B$2:$B$501,MATCH(186,Input!$J$2:$J$501,0)),"")</f>
        <v/>
      </c>
      <c r="C187" t="str">
        <f>IFERROR(INDEX(Input!$C$2:$C$501,MATCH(186,Input!$J$2:$J$501,0)),"")</f>
        <v/>
      </c>
      <c r="D187" t="str">
        <f>IFERROR(INDEX(Input!$D$2:$D$501,MATCH(186,Input!$J$2:$J$501,0)),"")</f>
        <v/>
      </c>
      <c r="E187" s="3" t="str">
        <f>IFERROR(INDEX(Input!$E$2:$E$501,MATCH(186,Input!$J$2:$J$501,0)),"")</f>
        <v/>
      </c>
      <c r="F187" t="str">
        <f>IFERROR(INDEX(Input!$F$2:$F$501,MATCH(186,Input!$J$2:$J$501,0)),"")</f>
        <v/>
      </c>
      <c r="G187" s="3" t="str">
        <f>IFERROR(INDEX(Input!$G$2:$G$501,MATCH(186,Input!$J$2:$J$501,0)),"")</f>
        <v/>
      </c>
      <c r="H187" t="str">
        <f>IFERROR(INDEX(Input!$H$2:$H$501,MATCH(186,Input!$J$2:$J$501,0)),"")</f>
        <v/>
      </c>
    </row>
    <row r="188" spans="1:8" x14ac:dyDescent="0.35">
      <c r="A188" t="str">
        <f>IFERROR(INDEX(Input!$A$2:$A$501,MATCH(187,Input!$J$2:$J$501,0)),"")</f>
        <v/>
      </c>
      <c r="B188" t="str">
        <f>IFERROR(INDEX(Input!$B$2:$B$501,MATCH(187,Input!$J$2:$J$501,0)),"")</f>
        <v/>
      </c>
      <c r="C188" t="str">
        <f>IFERROR(INDEX(Input!$C$2:$C$501,MATCH(187,Input!$J$2:$J$501,0)),"")</f>
        <v/>
      </c>
      <c r="D188" t="str">
        <f>IFERROR(INDEX(Input!$D$2:$D$501,MATCH(187,Input!$J$2:$J$501,0)),"")</f>
        <v/>
      </c>
      <c r="E188" s="3" t="str">
        <f>IFERROR(INDEX(Input!$E$2:$E$501,MATCH(187,Input!$J$2:$J$501,0)),"")</f>
        <v/>
      </c>
      <c r="F188" t="str">
        <f>IFERROR(INDEX(Input!$F$2:$F$501,MATCH(187,Input!$J$2:$J$501,0)),"")</f>
        <v/>
      </c>
      <c r="G188" s="3" t="str">
        <f>IFERROR(INDEX(Input!$G$2:$G$501,MATCH(187,Input!$J$2:$J$501,0)),"")</f>
        <v/>
      </c>
      <c r="H188" t="str">
        <f>IFERROR(INDEX(Input!$H$2:$H$501,MATCH(187,Input!$J$2:$J$501,0)),"")</f>
        <v/>
      </c>
    </row>
    <row r="189" spans="1:8" x14ac:dyDescent="0.35">
      <c r="A189" t="str">
        <f>IFERROR(INDEX(Input!$A$2:$A$501,MATCH(188,Input!$J$2:$J$501,0)),"")</f>
        <v/>
      </c>
      <c r="B189" t="str">
        <f>IFERROR(INDEX(Input!$B$2:$B$501,MATCH(188,Input!$J$2:$J$501,0)),"")</f>
        <v/>
      </c>
      <c r="C189" t="str">
        <f>IFERROR(INDEX(Input!$C$2:$C$501,MATCH(188,Input!$J$2:$J$501,0)),"")</f>
        <v/>
      </c>
      <c r="D189" t="str">
        <f>IFERROR(INDEX(Input!$D$2:$D$501,MATCH(188,Input!$J$2:$J$501,0)),"")</f>
        <v/>
      </c>
      <c r="E189" s="3" t="str">
        <f>IFERROR(INDEX(Input!$E$2:$E$501,MATCH(188,Input!$J$2:$J$501,0)),"")</f>
        <v/>
      </c>
      <c r="F189" t="str">
        <f>IFERROR(INDEX(Input!$F$2:$F$501,MATCH(188,Input!$J$2:$J$501,0)),"")</f>
        <v/>
      </c>
      <c r="G189" s="3" t="str">
        <f>IFERROR(INDEX(Input!$G$2:$G$501,MATCH(188,Input!$J$2:$J$501,0)),"")</f>
        <v/>
      </c>
      <c r="H189" t="str">
        <f>IFERROR(INDEX(Input!$H$2:$H$501,MATCH(188,Input!$J$2:$J$501,0)),"")</f>
        <v/>
      </c>
    </row>
    <row r="190" spans="1:8" x14ac:dyDescent="0.35">
      <c r="A190" t="str">
        <f>IFERROR(INDEX(Input!$A$2:$A$501,MATCH(189,Input!$J$2:$J$501,0)),"")</f>
        <v/>
      </c>
      <c r="B190" t="str">
        <f>IFERROR(INDEX(Input!$B$2:$B$501,MATCH(189,Input!$J$2:$J$501,0)),"")</f>
        <v/>
      </c>
      <c r="C190" t="str">
        <f>IFERROR(INDEX(Input!$C$2:$C$501,MATCH(189,Input!$J$2:$J$501,0)),"")</f>
        <v/>
      </c>
      <c r="D190" t="str">
        <f>IFERROR(INDEX(Input!$D$2:$D$501,MATCH(189,Input!$J$2:$J$501,0)),"")</f>
        <v/>
      </c>
      <c r="E190" s="3" t="str">
        <f>IFERROR(INDEX(Input!$E$2:$E$501,MATCH(189,Input!$J$2:$J$501,0)),"")</f>
        <v/>
      </c>
      <c r="F190" t="str">
        <f>IFERROR(INDEX(Input!$F$2:$F$501,MATCH(189,Input!$J$2:$J$501,0)),"")</f>
        <v/>
      </c>
      <c r="G190" s="3" t="str">
        <f>IFERROR(INDEX(Input!$G$2:$G$501,MATCH(189,Input!$J$2:$J$501,0)),"")</f>
        <v/>
      </c>
      <c r="H190" t="str">
        <f>IFERROR(INDEX(Input!$H$2:$H$501,MATCH(189,Input!$J$2:$J$501,0)),"")</f>
        <v/>
      </c>
    </row>
    <row r="191" spans="1:8" x14ac:dyDescent="0.35">
      <c r="A191" t="str">
        <f>IFERROR(INDEX(Input!$A$2:$A$501,MATCH(190,Input!$J$2:$J$501,0)),"")</f>
        <v/>
      </c>
      <c r="B191" t="str">
        <f>IFERROR(INDEX(Input!$B$2:$B$501,MATCH(190,Input!$J$2:$J$501,0)),"")</f>
        <v/>
      </c>
      <c r="C191" t="str">
        <f>IFERROR(INDEX(Input!$C$2:$C$501,MATCH(190,Input!$J$2:$J$501,0)),"")</f>
        <v/>
      </c>
      <c r="D191" t="str">
        <f>IFERROR(INDEX(Input!$D$2:$D$501,MATCH(190,Input!$J$2:$J$501,0)),"")</f>
        <v/>
      </c>
      <c r="E191" s="3" t="str">
        <f>IFERROR(INDEX(Input!$E$2:$E$501,MATCH(190,Input!$J$2:$J$501,0)),"")</f>
        <v/>
      </c>
      <c r="F191" t="str">
        <f>IFERROR(INDEX(Input!$F$2:$F$501,MATCH(190,Input!$J$2:$J$501,0)),"")</f>
        <v/>
      </c>
      <c r="G191" s="3" t="str">
        <f>IFERROR(INDEX(Input!$G$2:$G$501,MATCH(190,Input!$J$2:$J$501,0)),"")</f>
        <v/>
      </c>
      <c r="H191" t="str">
        <f>IFERROR(INDEX(Input!$H$2:$H$501,MATCH(190,Input!$J$2:$J$501,0)),"")</f>
        <v/>
      </c>
    </row>
    <row r="192" spans="1:8" x14ac:dyDescent="0.35">
      <c r="A192" t="str">
        <f>IFERROR(INDEX(Input!$A$2:$A$501,MATCH(191,Input!$J$2:$J$501,0)),"")</f>
        <v/>
      </c>
      <c r="B192" t="str">
        <f>IFERROR(INDEX(Input!$B$2:$B$501,MATCH(191,Input!$J$2:$J$501,0)),"")</f>
        <v/>
      </c>
      <c r="C192" t="str">
        <f>IFERROR(INDEX(Input!$C$2:$C$501,MATCH(191,Input!$J$2:$J$501,0)),"")</f>
        <v/>
      </c>
      <c r="D192" t="str">
        <f>IFERROR(INDEX(Input!$D$2:$D$501,MATCH(191,Input!$J$2:$J$501,0)),"")</f>
        <v/>
      </c>
      <c r="E192" s="3" t="str">
        <f>IFERROR(INDEX(Input!$E$2:$E$501,MATCH(191,Input!$J$2:$J$501,0)),"")</f>
        <v/>
      </c>
      <c r="F192" t="str">
        <f>IFERROR(INDEX(Input!$F$2:$F$501,MATCH(191,Input!$J$2:$J$501,0)),"")</f>
        <v/>
      </c>
      <c r="G192" s="3" t="str">
        <f>IFERROR(INDEX(Input!$G$2:$G$501,MATCH(191,Input!$J$2:$J$501,0)),"")</f>
        <v/>
      </c>
      <c r="H192" t="str">
        <f>IFERROR(INDEX(Input!$H$2:$H$501,MATCH(191,Input!$J$2:$J$501,0)),"")</f>
        <v/>
      </c>
    </row>
    <row r="193" spans="1:8" x14ac:dyDescent="0.35">
      <c r="A193" t="str">
        <f>IFERROR(INDEX(Input!$A$2:$A$501,MATCH(192,Input!$J$2:$J$501,0)),"")</f>
        <v/>
      </c>
      <c r="B193" t="str">
        <f>IFERROR(INDEX(Input!$B$2:$B$501,MATCH(192,Input!$J$2:$J$501,0)),"")</f>
        <v/>
      </c>
      <c r="C193" t="str">
        <f>IFERROR(INDEX(Input!$C$2:$C$501,MATCH(192,Input!$J$2:$J$501,0)),"")</f>
        <v/>
      </c>
      <c r="D193" t="str">
        <f>IFERROR(INDEX(Input!$D$2:$D$501,MATCH(192,Input!$J$2:$J$501,0)),"")</f>
        <v/>
      </c>
      <c r="E193" s="3" t="str">
        <f>IFERROR(INDEX(Input!$E$2:$E$501,MATCH(192,Input!$J$2:$J$501,0)),"")</f>
        <v/>
      </c>
      <c r="F193" t="str">
        <f>IFERROR(INDEX(Input!$F$2:$F$501,MATCH(192,Input!$J$2:$J$501,0)),"")</f>
        <v/>
      </c>
      <c r="G193" s="3" t="str">
        <f>IFERROR(INDEX(Input!$G$2:$G$501,MATCH(192,Input!$J$2:$J$501,0)),"")</f>
        <v/>
      </c>
      <c r="H193" t="str">
        <f>IFERROR(INDEX(Input!$H$2:$H$501,MATCH(192,Input!$J$2:$J$501,0)),"")</f>
        <v/>
      </c>
    </row>
    <row r="194" spans="1:8" x14ac:dyDescent="0.35">
      <c r="A194" t="str">
        <f>IFERROR(INDEX(Input!$A$2:$A$501,MATCH(193,Input!$J$2:$J$501,0)),"")</f>
        <v/>
      </c>
      <c r="B194" t="str">
        <f>IFERROR(INDEX(Input!$B$2:$B$501,MATCH(193,Input!$J$2:$J$501,0)),"")</f>
        <v/>
      </c>
      <c r="C194" t="str">
        <f>IFERROR(INDEX(Input!$C$2:$C$501,MATCH(193,Input!$J$2:$J$501,0)),"")</f>
        <v/>
      </c>
      <c r="D194" t="str">
        <f>IFERROR(INDEX(Input!$D$2:$D$501,MATCH(193,Input!$J$2:$J$501,0)),"")</f>
        <v/>
      </c>
      <c r="E194" s="3" t="str">
        <f>IFERROR(INDEX(Input!$E$2:$E$501,MATCH(193,Input!$J$2:$J$501,0)),"")</f>
        <v/>
      </c>
      <c r="F194" t="str">
        <f>IFERROR(INDEX(Input!$F$2:$F$501,MATCH(193,Input!$J$2:$J$501,0)),"")</f>
        <v/>
      </c>
      <c r="G194" s="3" t="str">
        <f>IFERROR(INDEX(Input!$G$2:$G$501,MATCH(193,Input!$J$2:$J$501,0)),"")</f>
        <v/>
      </c>
      <c r="H194" t="str">
        <f>IFERROR(INDEX(Input!$H$2:$H$501,MATCH(193,Input!$J$2:$J$501,0)),"")</f>
        <v/>
      </c>
    </row>
    <row r="195" spans="1:8" x14ac:dyDescent="0.35">
      <c r="A195" t="str">
        <f>IFERROR(INDEX(Input!$A$2:$A$501,MATCH(194,Input!$J$2:$J$501,0)),"")</f>
        <v/>
      </c>
      <c r="B195" t="str">
        <f>IFERROR(INDEX(Input!$B$2:$B$501,MATCH(194,Input!$J$2:$J$501,0)),"")</f>
        <v/>
      </c>
      <c r="C195" t="str">
        <f>IFERROR(INDEX(Input!$C$2:$C$501,MATCH(194,Input!$J$2:$J$501,0)),"")</f>
        <v/>
      </c>
      <c r="D195" t="str">
        <f>IFERROR(INDEX(Input!$D$2:$D$501,MATCH(194,Input!$J$2:$J$501,0)),"")</f>
        <v/>
      </c>
      <c r="E195" s="3" t="str">
        <f>IFERROR(INDEX(Input!$E$2:$E$501,MATCH(194,Input!$J$2:$J$501,0)),"")</f>
        <v/>
      </c>
      <c r="F195" t="str">
        <f>IFERROR(INDEX(Input!$F$2:$F$501,MATCH(194,Input!$J$2:$J$501,0)),"")</f>
        <v/>
      </c>
      <c r="G195" s="3" t="str">
        <f>IFERROR(INDEX(Input!$G$2:$G$501,MATCH(194,Input!$J$2:$J$501,0)),"")</f>
        <v/>
      </c>
      <c r="H195" t="str">
        <f>IFERROR(INDEX(Input!$H$2:$H$501,MATCH(194,Input!$J$2:$J$501,0)),"")</f>
        <v/>
      </c>
    </row>
    <row r="196" spans="1:8" x14ac:dyDescent="0.35">
      <c r="A196" t="str">
        <f>IFERROR(INDEX(Input!$A$2:$A$501,MATCH(195,Input!$J$2:$J$501,0)),"")</f>
        <v/>
      </c>
      <c r="B196" t="str">
        <f>IFERROR(INDEX(Input!$B$2:$B$501,MATCH(195,Input!$J$2:$J$501,0)),"")</f>
        <v/>
      </c>
      <c r="C196" t="str">
        <f>IFERROR(INDEX(Input!$C$2:$C$501,MATCH(195,Input!$J$2:$J$501,0)),"")</f>
        <v/>
      </c>
      <c r="D196" t="str">
        <f>IFERROR(INDEX(Input!$D$2:$D$501,MATCH(195,Input!$J$2:$J$501,0)),"")</f>
        <v/>
      </c>
      <c r="E196" s="3" t="str">
        <f>IFERROR(INDEX(Input!$E$2:$E$501,MATCH(195,Input!$J$2:$J$501,0)),"")</f>
        <v/>
      </c>
      <c r="F196" t="str">
        <f>IFERROR(INDEX(Input!$F$2:$F$501,MATCH(195,Input!$J$2:$J$501,0)),"")</f>
        <v/>
      </c>
      <c r="G196" s="3" t="str">
        <f>IFERROR(INDEX(Input!$G$2:$G$501,MATCH(195,Input!$J$2:$J$501,0)),"")</f>
        <v/>
      </c>
      <c r="H196" t="str">
        <f>IFERROR(INDEX(Input!$H$2:$H$501,MATCH(195,Input!$J$2:$J$501,0)),"")</f>
        <v/>
      </c>
    </row>
    <row r="197" spans="1:8" x14ac:dyDescent="0.35">
      <c r="A197" t="str">
        <f>IFERROR(INDEX(Input!$A$2:$A$501,MATCH(196,Input!$J$2:$J$501,0)),"")</f>
        <v/>
      </c>
      <c r="B197" t="str">
        <f>IFERROR(INDEX(Input!$B$2:$B$501,MATCH(196,Input!$J$2:$J$501,0)),"")</f>
        <v/>
      </c>
      <c r="C197" t="str">
        <f>IFERROR(INDEX(Input!$C$2:$C$501,MATCH(196,Input!$J$2:$J$501,0)),"")</f>
        <v/>
      </c>
      <c r="D197" t="str">
        <f>IFERROR(INDEX(Input!$D$2:$D$501,MATCH(196,Input!$J$2:$J$501,0)),"")</f>
        <v/>
      </c>
      <c r="E197" s="3" t="str">
        <f>IFERROR(INDEX(Input!$E$2:$E$501,MATCH(196,Input!$J$2:$J$501,0)),"")</f>
        <v/>
      </c>
      <c r="F197" t="str">
        <f>IFERROR(INDEX(Input!$F$2:$F$501,MATCH(196,Input!$J$2:$J$501,0)),"")</f>
        <v/>
      </c>
      <c r="G197" s="3" t="str">
        <f>IFERROR(INDEX(Input!$G$2:$G$501,MATCH(196,Input!$J$2:$J$501,0)),"")</f>
        <v/>
      </c>
      <c r="H197" t="str">
        <f>IFERROR(INDEX(Input!$H$2:$H$501,MATCH(196,Input!$J$2:$J$501,0)),"")</f>
        <v/>
      </c>
    </row>
    <row r="198" spans="1:8" x14ac:dyDescent="0.35">
      <c r="A198" t="str">
        <f>IFERROR(INDEX(Input!$A$2:$A$501,MATCH(197,Input!$J$2:$J$501,0)),"")</f>
        <v/>
      </c>
      <c r="B198" t="str">
        <f>IFERROR(INDEX(Input!$B$2:$B$501,MATCH(197,Input!$J$2:$J$501,0)),"")</f>
        <v/>
      </c>
      <c r="C198" t="str">
        <f>IFERROR(INDEX(Input!$C$2:$C$501,MATCH(197,Input!$J$2:$J$501,0)),"")</f>
        <v/>
      </c>
      <c r="D198" t="str">
        <f>IFERROR(INDEX(Input!$D$2:$D$501,MATCH(197,Input!$J$2:$J$501,0)),"")</f>
        <v/>
      </c>
      <c r="E198" s="3" t="str">
        <f>IFERROR(INDEX(Input!$E$2:$E$501,MATCH(197,Input!$J$2:$J$501,0)),"")</f>
        <v/>
      </c>
      <c r="F198" t="str">
        <f>IFERROR(INDEX(Input!$F$2:$F$501,MATCH(197,Input!$J$2:$J$501,0)),"")</f>
        <v/>
      </c>
      <c r="G198" s="3" t="str">
        <f>IFERROR(INDEX(Input!$G$2:$G$501,MATCH(197,Input!$J$2:$J$501,0)),"")</f>
        <v/>
      </c>
      <c r="H198" t="str">
        <f>IFERROR(INDEX(Input!$H$2:$H$501,MATCH(197,Input!$J$2:$J$501,0)),"")</f>
        <v/>
      </c>
    </row>
    <row r="199" spans="1:8" x14ac:dyDescent="0.35">
      <c r="A199" t="str">
        <f>IFERROR(INDEX(Input!$A$2:$A$501,MATCH(198,Input!$J$2:$J$501,0)),"")</f>
        <v/>
      </c>
      <c r="B199" t="str">
        <f>IFERROR(INDEX(Input!$B$2:$B$501,MATCH(198,Input!$J$2:$J$501,0)),"")</f>
        <v/>
      </c>
      <c r="C199" t="str">
        <f>IFERROR(INDEX(Input!$C$2:$C$501,MATCH(198,Input!$J$2:$J$501,0)),"")</f>
        <v/>
      </c>
      <c r="D199" t="str">
        <f>IFERROR(INDEX(Input!$D$2:$D$501,MATCH(198,Input!$J$2:$J$501,0)),"")</f>
        <v/>
      </c>
      <c r="E199" s="3" t="str">
        <f>IFERROR(INDEX(Input!$E$2:$E$501,MATCH(198,Input!$J$2:$J$501,0)),"")</f>
        <v/>
      </c>
      <c r="F199" t="str">
        <f>IFERROR(INDEX(Input!$F$2:$F$501,MATCH(198,Input!$J$2:$J$501,0)),"")</f>
        <v/>
      </c>
      <c r="G199" s="3" t="str">
        <f>IFERROR(INDEX(Input!$G$2:$G$501,MATCH(198,Input!$J$2:$J$501,0)),"")</f>
        <v/>
      </c>
      <c r="H199" t="str">
        <f>IFERROR(INDEX(Input!$H$2:$H$501,MATCH(198,Input!$J$2:$J$501,0)),"")</f>
        <v/>
      </c>
    </row>
    <row r="200" spans="1:8" x14ac:dyDescent="0.35">
      <c r="A200" t="str">
        <f>IFERROR(INDEX(Input!$A$2:$A$501,MATCH(199,Input!$J$2:$J$501,0)),"")</f>
        <v/>
      </c>
      <c r="B200" t="str">
        <f>IFERROR(INDEX(Input!$B$2:$B$501,MATCH(199,Input!$J$2:$J$501,0)),"")</f>
        <v/>
      </c>
      <c r="C200" t="str">
        <f>IFERROR(INDEX(Input!$C$2:$C$501,MATCH(199,Input!$J$2:$J$501,0)),"")</f>
        <v/>
      </c>
      <c r="D200" t="str">
        <f>IFERROR(INDEX(Input!$D$2:$D$501,MATCH(199,Input!$J$2:$J$501,0)),"")</f>
        <v/>
      </c>
      <c r="E200" s="3" t="str">
        <f>IFERROR(INDEX(Input!$E$2:$E$501,MATCH(199,Input!$J$2:$J$501,0)),"")</f>
        <v/>
      </c>
      <c r="F200" t="str">
        <f>IFERROR(INDEX(Input!$F$2:$F$501,MATCH(199,Input!$J$2:$J$501,0)),"")</f>
        <v/>
      </c>
      <c r="G200" s="3" t="str">
        <f>IFERROR(INDEX(Input!$G$2:$G$501,MATCH(199,Input!$J$2:$J$501,0)),"")</f>
        <v/>
      </c>
      <c r="H200" t="str">
        <f>IFERROR(INDEX(Input!$H$2:$H$501,MATCH(199,Input!$J$2:$J$501,0)),"")</f>
        <v/>
      </c>
    </row>
    <row r="201" spans="1:8" x14ac:dyDescent="0.35">
      <c r="A201" t="str">
        <f>IFERROR(INDEX(Input!$A$2:$A$501,MATCH(200,Input!$J$2:$J$501,0)),"")</f>
        <v/>
      </c>
      <c r="B201" t="str">
        <f>IFERROR(INDEX(Input!$B$2:$B$501,MATCH(200,Input!$J$2:$J$501,0)),"")</f>
        <v/>
      </c>
      <c r="C201" t="str">
        <f>IFERROR(INDEX(Input!$C$2:$C$501,MATCH(200,Input!$J$2:$J$501,0)),"")</f>
        <v/>
      </c>
      <c r="D201" t="str">
        <f>IFERROR(INDEX(Input!$D$2:$D$501,MATCH(200,Input!$J$2:$J$501,0)),"")</f>
        <v/>
      </c>
      <c r="E201" s="3" t="str">
        <f>IFERROR(INDEX(Input!$E$2:$E$501,MATCH(200,Input!$J$2:$J$501,0)),"")</f>
        <v/>
      </c>
      <c r="F201" t="str">
        <f>IFERROR(INDEX(Input!$F$2:$F$501,MATCH(200,Input!$J$2:$J$501,0)),"")</f>
        <v/>
      </c>
      <c r="G201" s="3" t="str">
        <f>IFERROR(INDEX(Input!$G$2:$G$501,MATCH(200,Input!$J$2:$J$501,0)),"")</f>
        <v/>
      </c>
      <c r="H201" t="str">
        <f>IFERROR(INDEX(Input!$H$2:$H$501,MATCH(200,Input!$J$2:$J$501,0)),"")</f>
        <v/>
      </c>
    </row>
    <row r="202" spans="1:8" x14ac:dyDescent="0.35">
      <c r="A202" t="str">
        <f>IFERROR(INDEX(Input!$A$2:$A$501,MATCH(201,Input!$J$2:$J$501,0)),"")</f>
        <v/>
      </c>
      <c r="B202" t="str">
        <f>IFERROR(INDEX(Input!$B$2:$B$501,MATCH(201,Input!$J$2:$J$501,0)),"")</f>
        <v/>
      </c>
      <c r="C202" t="str">
        <f>IFERROR(INDEX(Input!$C$2:$C$501,MATCH(201,Input!$J$2:$J$501,0)),"")</f>
        <v/>
      </c>
      <c r="D202" t="str">
        <f>IFERROR(INDEX(Input!$D$2:$D$501,MATCH(201,Input!$J$2:$J$501,0)),"")</f>
        <v/>
      </c>
      <c r="E202" s="3" t="str">
        <f>IFERROR(INDEX(Input!$E$2:$E$501,MATCH(201,Input!$J$2:$J$501,0)),"")</f>
        <v/>
      </c>
      <c r="F202" t="str">
        <f>IFERROR(INDEX(Input!$F$2:$F$501,MATCH(201,Input!$J$2:$J$501,0)),"")</f>
        <v/>
      </c>
      <c r="G202" s="3" t="str">
        <f>IFERROR(INDEX(Input!$G$2:$G$501,MATCH(201,Input!$J$2:$J$501,0)),"")</f>
        <v/>
      </c>
      <c r="H202" t="str">
        <f>IFERROR(INDEX(Input!$H$2:$H$501,MATCH(201,Input!$J$2:$J$501,0)),"")</f>
        <v/>
      </c>
    </row>
    <row r="203" spans="1:8" x14ac:dyDescent="0.35">
      <c r="A203" t="str">
        <f>IFERROR(INDEX(Input!$A$2:$A$501,MATCH(202,Input!$J$2:$J$501,0)),"")</f>
        <v/>
      </c>
      <c r="B203" t="str">
        <f>IFERROR(INDEX(Input!$B$2:$B$501,MATCH(202,Input!$J$2:$J$501,0)),"")</f>
        <v/>
      </c>
      <c r="C203" t="str">
        <f>IFERROR(INDEX(Input!$C$2:$C$501,MATCH(202,Input!$J$2:$J$501,0)),"")</f>
        <v/>
      </c>
      <c r="D203" t="str">
        <f>IFERROR(INDEX(Input!$D$2:$D$501,MATCH(202,Input!$J$2:$J$501,0)),"")</f>
        <v/>
      </c>
      <c r="E203" s="3" t="str">
        <f>IFERROR(INDEX(Input!$E$2:$E$501,MATCH(202,Input!$J$2:$J$501,0)),"")</f>
        <v/>
      </c>
      <c r="F203" t="str">
        <f>IFERROR(INDEX(Input!$F$2:$F$501,MATCH(202,Input!$J$2:$J$501,0)),"")</f>
        <v/>
      </c>
      <c r="G203" s="3" t="str">
        <f>IFERROR(INDEX(Input!$G$2:$G$501,MATCH(202,Input!$J$2:$J$501,0)),"")</f>
        <v/>
      </c>
      <c r="H203" t="str">
        <f>IFERROR(INDEX(Input!$H$2:$H$501,MATCH(202,Input!$J$2:$J$501,0)),"")</f>
        <v/>
      </c>
    </row>
    <row r="204" spans="1:8" x14ac:dyDescent="0.35">
      <c r="A204" t="str">
        <f>IFERROR(INDEX(Input!$A$2:$A$501,MATCH(203,Input!$J$2:$J$501,0)),"")</f>
        <v/>
      </c>
      <c r="B204" t="str">
        <f>IFERROR(INDEX(Input!$B$2:$B$501,MATCH(203,Input!$J$2:$J$501,0)),"")</f>
        <v/>
      </c>
      <c r="C204" t="str">
        <f>IFERROR(INDEX(Input!$C$2:$C$501,MATCH(203,Input!$J$2:$J$501,0)),"")</f>
        <v/>
      </c>
      <c r="D204" t="str">
        <f>IFERROR(INDEX(Input!$D$2:$D$501,MATCH(203,Input!$J$2:$J$501,0)),"")</f>
        <v/>
      </c>
      <c r="E204" s="3" t="str">
        <f>IFERROR(INDEX(Input!$E$2:$E$501,MATCH(203,Input!$J$2:$J$501,0)),"")</f>
        <v/>
      </c>
      <c r="F204" t="str">
        <f>IFERROR(INDEX(Input!$F$2:$F$501,MATCH(203,Input!$J$2:$J$501,0)),"")</f>
        <v/>
      </c>
      <c r="G204" s="3" t="str">
        <f>IFERROR(INDEX(Input!$G$2:$G$501,MATCH(203,Input!$J$2:$J$501,0)),"")</f>
        <v/>
      </c>
      <c r="H204" t="str">
        <f>IFERROR(INDEX(Input!$H$2:$H$501,MATCH(203,Input!$J$2:$J$501,0)),"")</f>
        <v/>
      </c>
    </row>
    <row r="205" spans="1:8" x14ac:dyDescent="0.35">
      <c r="A205" t="str">
        <f>IFERROR(INDEX(Input!$A$2:$A$501,MATCH(204,Input!$J$2:$J$501,0)),"")</f>
        <v/>
      </c>
      <c r="B205" t="str">
        <f>IFERROR(INDEX(Input!$B$2:$B$501,MATCH(204,Input!$J$2:$J$501,0)),"")</f>
        <v/>
      </c>
      <c r="C205" t="str">
        <f>IFERROR(INDEX(Input!$C$2:$C$501,MATCH(204,Input!$J$2:$J$501,0)),"")</f>
        <v/>
      </c>
      <c r="D205" t="str">
        <f>IFERROR(INDEX(Input!$D$2:$D$501,MATCH(204,Input!$J$2:$J$501,0)),"")</f>
        <v/>
      </c>
      <c r="E205" s="3" t="str">
        <f>IFERROR(INDEX(Input!$E$2:$E$501,MATCH(204,Input!$J$2:$J$501,0)),"")</f>
        <v/>
      </c>
      <c r="F205" t="str">
        <f>IFERROR(INDEX(Input!$F$2:$F$501,MATCH(204,Input!$J$2:$J$501,0)),"")</f>
        <v/>
      </c>
      <c r="G205" s="3" t="str">
        <f>IFERROR(INDEX(Input!$G$2:$G$501,MATCH(204,Input!$J$2:$J$501,0)),"")</f>
        <v/>
      </c>
      <c r="H205" t="str">
        <f>IFERROR(INDEX(Input!$H$2:$H$501,MATCH(204,Input!$J$2:$J$501,0)),"")</f>
        <v/>
      </c>
    </row>
    <row r="206" spans="1:8" x14ac:dyDescent="0.35">
      <c r="A206" t="str">
        <f>IFERROR(INDEX(Input!$A$2:$A$501,MATCH(205,Input!$J$2:$J$501,0)),"")</f>
        <v/>
      </c>
      <c r="B206" t="str">
        <f>IFERROR(INDEX(Input!$B$2:$B$501,MATCH(205,Input!$J$2:$J$501,0)),"")</f>
        <v/>
      </c>
      <c r="C206" t="str">
        <f>IFERROR(INDEX(Input!$C$2:$C$501,MATCH(205,Input!$J$2:$J$501,0)),"")</f>
        <v/>
      </c>
      <c r="D206" t="str">
        <f>IFERROR(INDEX(Input!$D$2:$D$501,MATCH(205,Input!$J$2:$J$501,0)),"")</f>
        <v/>
      </c>
      <c r="E206" s="3" t="str">
        <f>IFERROR(INDEX(Input!$E$2:$E$501,MATCH(205,Input!$J$2:$J$501,0)),"")</f>
        <v/>
      </c>
      <c r="F206" t="str">
        <f>IFERROR(INDEX(Input!$F$2:$F$501,MATCH(205,Input!$J$2:$J$501,0)),"")</f>
        <v/>
      </c>
      <c r="G206" s="3" t="str">
        <f>IFERROR(INDEX(Input!$G$2:$G$501,MATCH(205,Input!$J$2:$J$501,0)),"")</f>
        <v/>
      </c>
      <c r="H206" t="str">
        <f>IFERROR(INDEX(Input!$H$2:$H$501,MATCH(205,Input!$J$2:$J$501,0)),"")</f>
        <v/>
      </c>
    </row>
    <row r="207" spans="1:8" x14ac:dyDescent="0.35">
      <c r="A207" t="str">
        <f>IFERROR(INDEX(Input!$A$2:$A$501,MATCH(206,Input!$J$2:$J$501,0)),"")</f>
        <v/>
      </c>
      <c r="B207" t="str">
        <f>IFERROR(INDEX(Input!$B$2:$B$501,MATCH(206,Input!$J$2:$J$501,0)),"")</f>
        <v/>
      </c>
      <c r="C207" t="str">
        <f>IFERROR(INDEX(Input!$C$2:$C$501,MATCH(206,Input!$J$2:$J$501,0)),"")</f>
        <v/>
      </c>
      <c r="D207" t="str">
        <f>IFERROR(INDEX(Input!$D$2:$D$501,MATCH(206,Input!$J$2:$J$501,0)),"")</f>
        <v/>
      </c>
      <c r="E207" s="3" t="str">
        <f>IFERROR(INDEX(Input!$E$2:$E$501,MATCH(206,Input!$J$2:$J$501,0)),"")</f>
        <v/>
      </c>
      <c r="F207" t="str">
        <f>IFERROR(INDEX(Input!$F$2:$F$501,MATCH(206,Input!$J$2:$J$501,0)),"")</f>
        <v/>
      </c>
      <c r="G207" s="3" t="str">
        <f>IFERROR(INDEX(Input!$G$2:$G$501,MATCH(206,Input!$J$2:$J$501,0)),"")</f>
        <v/>
      </c>
      <c r="H207" t="str">
        <f>IFERROR(INDEX(Input!$H$2:$H$501,MATCH(206,Input!$J$2:$J$501,0)),"")</f>
        <v/>
      </c>
    </row>
    <row r="208" spans="1:8" x14ac:dyDescent="0.35">
      <c r="A208" t="str">
        <f>IFERROR(INDEX(Input!$A$2:$A$501,MATCH(207,Input!$J$2:$J$501,0)),"")</f>
        <v/>
      </c>
      <c r="B208" t="str">
        <f>IFERROR(INDEX(Input!$B$2:$B$501,MATCH(207,Input!$J$2:$J$501,0)),"")</f>
        <v/>
      </c>
      <c r="C208" t="str">
        <f>IFERROR(INDEX(Input!$C$2:$C$501,MATCH(207,Input!$J$2:$J$501,0)),"")</f>
        <v/>
      </c>
      <c r="D208" t="str">
        <f>IFERROR(INDEX(Input!$D$2:$D$501,MATCH(207,Input!$J$2:$J$501,0)),"")</f>
        <v/>
      </c>
      <c r="E208" s="3" t="str">
        <f>IFERROR(INDEX(Input!$E$2:$E$501,MATCH(207,Input!$J$2:$J$501,0)),"")</f>
        <v/>
      </c>
      <c r="F208" t="str">
        <f>IFERROR(INDEX(Input!$F$2:$F$501,MATCH(207,Input!$J$2:$J$501,0)),"")</f>
        <v/>
      </c>
      <c r="G208" s="3" t="str">
        <f>IFERROR(INDEX(Input!$G$2:$G$501,MATCH(207,Input!$J$2:$J$501,0)),"")</f>
        <v/>
      </c>
      <c r="H208" t="str">
        <f>IFERROR(INDEX(Input!$H$2:$H$501,MATCH(207,Input!$J$2:$J$501,0)),"")</f>
        <v/>
      </c>
    </row>
    <row r="209" spans="1:8" x14ac:dyDescent="0.35">
      <c r="A209" t="str">
        <f>IFERROR(INDEX(Input!$A$2:$A$501,MATCH(208,Input!$J$2:$J$501,0)),"")</f>
        <v/>
      </c>
      <c r="B209" t="str">
        <f>IFERROR(INDEX(Input!$B$2:$B$501,MATCH(208,Input!$J$2:$J$501,0)),"")</f>
        <v/>
      </c>
      <c r="C209" t="str">
        <f>IFERROR(INDEX(Input!$C$2:$C$501,MATCH(208,Input!$J$2:$J$501,0)),"")</f>
        <v/>
      </c>
      <c r="D209" t="str">
        <f>IFERROR(INDEX(Input!$D$2:$D$501,MATCH(208,Input!$J$2:$J$501,0)),"")</f>
        <v/>
      </c>
      <c r="E209" s="3" t="str">
        <f>IFERROR(INDEX(Input!$E$2:$E$501,MATCH(208,Input!$J$2:$J$501,0)),"")</f>
        <v/>
      </c>
      <c r="F209" t="str">
        <f>IFERROR(INDEX(Input!$F$2:$F$501,MATCH(208,Input!$J$2:$J$501,0)),"")</f>
        <v/>
      </c>
      <c r="G209" s="3" t="str">
        <f>IFERROR(INDEX(Input!$G$2:$G$501,MATCH(208,Input!$J$2:$J$501,0)),"")</f>
        <v/>
      </c>
      <c r="H209" t="str">
        <f>IFERROR(INDEX(Input!$H$2:$H$501,MATCH(208,Input!$J$2:$J$501,0)),"")</f>
        <v/>
      </c>
    </row>
    <row r="210" spans="1:8" x14ac:dyDescent="0.35">
      <c r="A210" t="str">
        <f>IFERROR(INDEX(Input!$A$2:$A$501,MATCH(209,Input!$J$2:$J$501,0)),"")</f>
        <v/>
      </c>
      <c r="B210" t="str">
        <f>IFERROR(INDEX(Input!$B$2:$B$501,MATCH(209,Input!$J$2:$J$501,0)),"")</f>
        <v/>
      </c>
      <c r="C210" t="str">
        <f>IFERROR(INDEX(Input!$C$2:$C$501,MATCH(209,Input!$J$2:$J$501,0)),"")</f>
        <v/>
      </c>
      <c r="D210" t="str">
        <f>IFERROR(INDEX(Input!$D$2:$D$501,MATCH(209,Input!$J$2:$J$501,0)),"")</f>
        <v/>
      </c>
      <c r="E210" s="3" t="str">
        <f>IFERROR(INDEX(Input!$E$2:$E$501,MATCH(209,Input!$J$2:$J$501,0)),"")</f>
        <v/>
      </c>
      <c r="F210" t="str">
        <f>IFERROR(INDEX(Input!$F$2:$F$501,MATCH(209,Input!$J$2:$J$501,0)),"")</f>
        <v/>
      </c>
      <c r="G210" s="3" t="str">
        <f>IFERROR(INDEX(Input!$G$2:$G$501,MATCH(209,Input!$J$2:$J$501,0)),"")</f>
        <v/>
      </c>
      <c r="H210" t="str">
        <f>IFERROR(INDEX(Input!$H$2:$H$501,MATCH(209,Input!$J$2:$J$501,0)),"")</f>
        <v/>
      </c>
    </row>
    <row r="211" spans="1:8" x14ac:dyDescent="0.35">
      <c r="A211" t="str">
        <f>IFERROR(INDEX(Input!$A$2:$A$501,MATCH(210,Input!$J$2:$J$501,0)),"")</f>
        <v/>
      </c>
      <c r="B211" t="str">
        <f>IFERROR(INDEX(Input!$B$2:$B$501,MATCH(210,Input!$J$2:$J$501,0)),"")</f>
        <v/>
      </c>
      <c r="C211" t="str">
        <f>IFERROR(INDEX(Input!$C$2:$C$501,MATCH(210,Input!$J$2:$J$501,0)),"")</f>
        <v/>
      </c>
      <c r="D211" t="str">
        <f>IFERROR(INDEX(Input!$D$2:$D$501,MATCH(210,Input!$J$2:$J$501,0)),"")</f>
        <v/>
      </c>
      <c r="E211" s="3" t="str">
        <f>IFERROR(INDEX(Input!$E$2:$E$501,MATCH(210,Input!$J$2:$J$501,0)),"")</f>
        <v/>
      </c>
      <c r="F211" t="str">
        <f>IFERROR(INDEX(Input!$F$2:$F$501,MATCH(210,Input!$J$2:$J$501,0)),"")</f>
        <v/>
      </c>
      <c r="G211" s="3" t="str">
        <f>IFERROR(INDEX(Input!$G$2:$G$501,MATCH(210,Input!$J$2:$J$501,0)),"")</f>
        <v/>
      </c>
      <c r="H211" t="str">
        <f>IFERROR(INDEX(Input!$H$2:$H$501,MATCH(210,Input!$J$2:$J$501,0)),"")</f>
        <v/>
      </c>
    </row>
    <row r="212" spans="1:8" x14ac:dyDescent="0.35">
      <c r="A212" t="str">
        <f>IFERROR(INDEX(Input!$A$2:$A$501,MATCH(211,Input!$J$2:$J$501,0)),"")</f>
        <v/>
      </c>
      <c r="B212" t="str">
        <f>IFERROR(INDEX(Input!$B$2:$B$501,MATCH(211,Input!$J$2:$J$501,0)),"")</f>
        <v/>
      </c>
      <c r="C212" t="str">
        <f>IFERROR(INDEX(Input!$C$2:$C$501,MATCH(211,Input!$J$2:$J$501,0)),"")</f>
        <v/>
      </c>
      <c r="D212" t="str">
        <f>IFERROR(INDEX(Input!$D$2:$D$501,MATCH(211,Input!$J$2:$J$501,0)),"")</f>
        <v/>
      </c>
      <c r="E212" s="3" t="str">
        <f>IFERROR(INDEX(Input!$E$2:$E$501,MATCH(211,Input!$J$2:$J$501,0)),"")</f>
        <v/>
      </c>
      <c r="F212" t="str">
        <f>IFERROR(INDEX(Input!$F$2:$F$501,MATCH(211,Input!$J$2:$J$501,0)),"")</f>
        <v/>
      </c>
      <c r="G212" s="3" t="str">
        <f>IFERROR(INDEX(Input!$G$2:$G$501,MATCH(211,Input!$J$2:$J$501,0)),"")</f>
        <v/>
      </c>
      <c r="H212" t="str">
        <f>IFERROR(INDEX(Input!$H$2:$H$501,MATCH(211,Input!$J$2:$J$501,0)),"")</f>
        <v/>
      </c>
    </row>
    <row r="213" spans="1:8" x14ac:dyDescent="0.35">
      <c r="A213" t="str">
        <f>IFERROR(INDEX(Input!$A$2:$A$501,MATCH(212,Input!$J$2:$J$501,0)),"")</f>
        <v/>
      </c>
      <c r="B213" t="str">
        <f>IFERROR(INDEX(Input!$B$2:$B$501,MATCH(212,Input!$J$2:$J$501,0)),"")</f>
        <v/>
      </c>
      <c r="C213" t="str">
        <f>IFERROR(INDEX(Input!$C$2:$C$501,MATCH(212,Input!$J$2:$J$501,0)),"")</f>
        <v/>
      </c>
      <c r="D213" t="str">
        <f>IFERROR(INDEX(Input!$D$2:$D$501,MATCH(212,Input!$J$2:$J$501,0)),"")</f>
        <v/>
      </c>
      <c r="E213" s="3" t="str">
        <f>IFERROR(INDEX(Input!$E$2:$E$501,MATCH(212,Input!$J$2:$J$501,0)),"")</f>
        <v/>
      </c>
      <c r="F213" t="str">
        <f>IFERROR(INDEX(Input!$F$2:$F$501,MATCH(212,Input!$J$2:$J$501,0)),"")</f>
        <v/>
      </c>
      <c r="G213" s="3" t="str">
        <f>IFERROR(INDEX(Input!$G$2:$G$501,MATCH(212,Input!$J$2:$J$501,0)),"")</f>
        <v/>
      </c>
      <c r="H213" t="str">
        <f>IFERROR(INDEX(Input!$H$2:$H$501,MATCH(212,Input!$J$2:$J$501,0)),"")</f>
        <v/>
      </c>
    </row>
    <row r="214" spans="1:8" x14ac:dyDescent="0.35">
      <c r="A214" t="str">
        <f>IFERROR(INDEX(Input!$A$2:$A$501,MATCH(213,Input!$J$2:$J$501,0)),"")</f>
        <v/>
      </c>
      <c r="B214" t="str">
        <f>IFERROR(INDEX(Input!$B$2:$B$501,MATCH(213,Input!$J$2:$J$501,0)),"")</f>
        <v/>
      </c>
      <c r="C214" t="str">
        <f>IFERROR(INDEX(Input!$C$2:$C$501,MATCH(213,Input!$J$2:$J$501,0)),"")</f>
        <v/>
      </c>
      <c r="D214" t="str">
        <f>IFERROR(INDEX(Input!$D$2:$D$501,MATCH(213,Input!$J$2:$J$501,0)),"")</f>
        <v/>
      </c>
      <c r="E214" s="3" t="str">
        <f>IFERROR(INDEX(Input!$E$2:$E$501,MATCH(213,Input!$J$2:$J$501,0)),"")</f>
        <v/>
      </c>
      <c r="F214" t="str">
        <f>IFERROR(INDEX(Input!$F$2:$F$501,MATCH(213,Input!$J$2:$J$501,0)),"")</f>
        <v/>
      </c>
      <c r="G214" s="3" t="str">
        <f>IFERROR(INDEX(Input!$G$2:$G$501,MATCH(213,Input!$J$2:$J$501,0)),"")</f>
        <v/>
      </c>
      <c r="H214" t="str">
        <f>IFERROR(INDEX(Input!$H$2:$H$501,MATCH(213,Input!$J$2:$J$501,0)),"")</f>
        <v/>
      </c>
    </row>
    <row r="215" spans="1:8" x14ac:dyDescent="0.35">
      <c r="A215" t="str">
        <f>IFERROR(INDEX(Input!$A$2:$A$501,MATCH(214,Input!$J$2:$J$501,0)),"")</f>
        <v/>
      </c>
      <c r="B215" t="str">
        <f>IFERROR(INDEX(Input!$B$2:$B$501,MATCH(214,Input!$J$2:$J$501,0)),"")</f>
        <v/>
      </c>
      <c r="C215" t="str">
        <f>IFERROR(INDEX(Input!$C$2:$C$501,MATCH(214,Input!$J$2:$J$501,0)),"")</f>
        <v/>
      </c>
      <c r="D215" t="str">
        <f>IFERROR(INDEX(Input!$D$2:$D$501,MATCH(214,Input!$J$2:$J$501,0)),"")</f>
        <v/>
      </c>
      <c r="E215" s="3" t="str">
        <f>IFERROR(INDEX(Input!$E$2:$E$501,MATCH(214,Input!$J$2:$J$501,0)),"")</f>
        <v/>
      </c>
      <c r="F215" t="str">
        <f>IFERROR(INDEX(Input!$F$2:$F$501,MATCH(214,Input!$J$2:$J$501,0)),"")</f>
        <v/>
      </c>
      <c r="G215" s="3" t="str">
        <f>IFERROR(INDEX(Input!$G$2:$G$501,MATCH(214,Input!$J$2:$J$501,0)),"")</f>
        <v/>
      </c>
      <c r="H215" t="str">
        <f>IFERROR(INDEX(Input!$H$2:$H$501,MATCH(214,Input!$J$2:$J$501,0)),"")</f>
        <v/>
      </c>
    </row>
    <row r="216" spans="1:8" x14ac:dyDescent="0.35">
      <c r="A216" t="str">
        <f>IFERROR(INDEX(Input!$A$2:$A$501,MATCH(215,Input!$J$2:$J$501,0)),"")</f>
        <v/>
      </c>
      <c r="B216" t="str">
        <f>IFERROR(INDEX(Input!$B$2:$B$501,MATCH(215,Input!$J$2:$J$501,0)),"")</f>
        <v/>
      </c>
      <c r="C216" t="str">
        <f>IFERROR(INDEX(Input!$C$2:$C$501,MATCH(215,Input!$J$2:$J$501,0)),"")</f>
        <v/>
      </c>
      <c r="D216" t="str">
        <f>IFERROR(INDEX(Input!$D$2:$D$501,MATCH(215,Input!$J$2:$J$501,0)),"")</f>
        <v/>
      </c>
      <c r="E216" s="3" t="str">
        <f>IFERROR(INDEX(Input!$E$2:$E$501,MATCH(215,Input!$J$2:$J$501,0)),"")</f>
        <v/>
      </c>
      <c r="F216" t="str">
        <f>IFERROR(INDEX(Input!$F$2:$F$501,MATCH(215,Input!$J$2:$J$501,0)),"")</f>
        <v/>
      </c>
      <c r="G216" s="3" t="str">
        <f>IFERROR(INDEX(Input!$G$2:$G$501,MATCH(215,Input!$J$2:$J$501,0)),"")</f>
        <v/>
      </c>
      <c r="H216" t="str">
        <f>IFERROR(INDEX(Input!$H$2:$H$501,MATCH(215,Input!$J$2:$J$501,0)),"")</f>
        <v/>
      </c>
    </row>
    <row r="217" spans="1:8" x14ac:dyDescent="0.35">
      <c r="A217" t="str">
        <f>IFERROR(INDEX(Input!$A$2:$A$501,MATCH(216,Input!$J$2:$J$501,0)),"")</f>
        <v/>
      </c>
      <c r="B217" t="str">
        <f>IFERROR(INDEX(Input!$B$2:$B$501,MATCH(216,Input!$J$2:$J$501,0)),"")</f>
        <v/>
      </c>
      <c r="C217" t="str">
        <f>IFERROR(INDEX(Input!$C$2:$C$501,MATCH(216,Input!$J$2:$J$501,0)),"")</f>
        <v/>
      </c>
      <c r="D217" t="str">
        <f>IFERROR(INDEX(Input!$D$2:$D$501,MATCH(216,Input!$J$2:$J$501,0)),"")</f>
        <v/>
      </c>
      <c r="E217" s="3" t="str">
        <f>IFERROR(INDEX(Input!$E$2:$E$501,MATCH(216,Input!$J$2:$J$501,0)),"")</f>
        <v/>
      </c>
      <c r="F217" t="str">
        <f>IFERROR(INDEX(Input!$F$2:$F$501,MATCH(216,Input!$J$2:$J$501,0)),"")</f>
        <v/>
      </c>
      <c r="G217" s="3" t="str">
        <f>IFERROR(INDEX(Input!$G$2:$G$501,MATCH(216,Input!$J$2:$J$501,0)),"")</f>
        <v/>
      </c>
      <c r="H217" t="str">
        <f>IFERROR(INDEX(Input!$H$2:$H$501,MATCH(216,Input!$J$2:$J$501,0)),"")</f>
        <v/>
      </c>
    </row>
    <row r="218" spans="1:8" x14ac:dyDescent="0.35">
      <c r="A218" t="str">
        <f>IFERROR(INDEX(Input!$A$2:$A$501,MATCH(217,Input!$J$2:$J$501,0)),"")</f>
        <v/>
      </c>
      <c r="B218" t="str">
        <f>IFERROR(INDEX(Input!$B$2:$B$501,MATCH(217,Input!$J$2:$J$501,0)),"")</f>
        <v/>
      </c>
      <c r="C218" t="str">
        <f>IFERROR(INDEX(Input!$C$2:$C$501,MATCH(217,Input!$J$2:$J$501,0)),"")</f>
        <v/>
      </c>
      <c r="D218" t="str">
        <f>IFERROR(INDEX(Input!$D$2:$D$501,MATCH(217,Input!$J$2:$J$501,0)),"")</f>
        <v/>
      </c>
      <c r="E218" s="3" t="str">
        <f>IFERROR(INDEX(Input!$E$2:$E$501,MATCH(217,Input!$J$2:$J$501,0)),"")</f>
        <v/>
      </c>
      <c r="F218" t="str">
        <f>IFERROR(INDEX(Input!$F$2:$F$501,MATCH(217,Input!$J$2:$J$501,0)),"")</f>
        <v/>
      </c>
      <c r="G218" s="3" t="str">
        <f>IFERROR(INDEX(Input!$G$2:$G$501,MATCH(217,Input!$J$2:$J$501,0)),"")</f>
        <v/>
      </c>
      <c r="H218" t="str">
        <f>IFERROR(INDEX(Input!$H$2:$H$501,MATCH(217,Input!$J$2:$J$501,0)),"")</f>
        <v/>
      </c>
    </row>
    <row r="219" spans="1:8" x14ac:dyDescent="0.35">
      <c r="A219" t="str">
        <f>IFERROR(INDEX(Input!$A$2:$A$501,MATCH(218,Input!$J$2:$J$501,0)),"")</f>
        <v/>
      </c>
      <c r="B219" t="str">
        <f>IFERROR(INDEX(Input!$B$2:$B$501,MATCH(218,Input!$J$2:$J$501,0)),"")</f>
        <v/>
      </c>
      <c r="C219" t="str">
        <f>IFERROR(INDEX(Input!$C$2:$C$501,MATCH(218,Input!$J$2:$J$501,0)),"")</f>
        <v/>
      </c>
      <c r="D219" t="str">
        <f>IFERROR(INDEX(Input!$D$2:$D$501,MATCH(218,Input!$J$2:$J$501,0)),"")</f>
        <v/>
      </c>
      <c r="E219" s="3" t="str">
        <f>IFERROR(INDEX(Input!$E$2:$E$501,MATCH(218,Input!$J$2:$J$501,0)),"")</f>
        <v/>
      </c>
      <c r="F219" t="str">
        <f>IFERROR(INDEX(Input!$F$2:$F$501,MATCH(218,Input!$J$2:$J$501,0)),"")</f>
        <v/>
      </c>
      <c r="G219" s="3" t="str">
        <f>IFERROR(INDEX(Input!$G$2:$G$501,MATCH(218,Input!$J$2:$J$501,0)),"")</f>
        <v/>
      </c>
      <c r="H219" t="str">
        <f>IFERROR(INDEX(Input!$H$2:$H$501,MATCH(218,Input!$J$2:$J$501,0)),"")</f>
        <v/>
      </c>
    </row>
    <row r="220" spans="1:8" x14ac:dyDescent="0.35">
      <c r="A220" t="str">
        <f>IFERROR(INDEX(Input!$A$2:$A$501,MATCH(219,Input!$J$2:$J$501,0)),"")</f>
        <v/>
      </c>
      <c r="B220" t="str">
        <f>IFERROR(INDEX(Input!$B$2:$B$501,MATCH(219,Input!$J$2:$J$501,0)),"")</f>
        <v/>
      </c>
      <c r="C220" t="str">
        <f>IFERROR(INDEX(Input!$C$2:$C$501,MATCH(219,Input!$J$2:$J$501,0)),"")</f>
        <v/>
      </c>
      <c r="D220" t="str">
        <f>IFERROR(INDEX(Input!$D$2:$D$501,MATCH(219,Input!$J$2:$J$501,0)),"")</f>
        <v/>
      </c>
      <c r="E220" s="3" t="str">
        <f>IFERROR(INDEX(Input!$E$2:$E$501,MATCH(219,Input!$J$2:$J$501,0)),"")</f>
        <v/>
      </c>
      <c r="F220" t="str">
        <f>IFERROR(INDEX(Input!$F$2:$F$501,MATCH(219,Input!$J$2:$J$501,0)),"")</f>
        <v/>
      </c>
      <c r="G220" s="3" t="str">
        <f>IFERROR(INDEX(Input!$G$2:$G$501,MATCH(219,Input!$J$2:$J$501,0)),"")</f>
        <v/>
      </c>
      <c r="H220" t="str">
        <f>IFERROR(INDEX(Input!$H$2:$H$501,MATCH(219,Input!$J$2:$J$501,0)),"")</f>
        <v/>
      </c>
    </row>
    <row r="221" spans="1:8" x14ac:dyDescent="0.35">
      <c r="A221" t="str">
        <f>IFERROR(INDEX(Input!$A$2:$A$501,MATCH(220,Input!$J$2:$J$501,0)),"")</f>
        <v/>
      </c>
      <c r="B221" t="str">
        <f>IFERROR(INDEX(Input!$B$2:$B$501,MATCH(220,Input!$J$2:$J$501,0)),"")</f>
        <v/>
      </c>
      <c r="C221" t="str">
        <f>IFERROR(INDEX(Input!$C$2:$C$501,MATCH(220,Input!$J$2:$J$501,0)),"")</f>
        <v/>
      </c>
      <c r="D221" t="str">
        <f>IFERROR(INDEX(Input!$D$2:$D$501,MATCH(220,Input!$J$2:$J$501,0)),"")</f>
        <v/>
      </c>
      <c r="E221" s="3" t="str">
        <f>IFERROR(INDEX(Input!$E$2:$E$501,MATCH(220,Input!$J$2:$J$501,0)),"")</f>
        <v/>
      </c>
      <c r="F221" t="str">
        <f>IFERROR(INDEX(Input!$F$2:$F$501,MATCH(220,Input!$J$2:$J$501,0)),"")</f>
        <v/>
      </c>
      <c r="G221" s="3" t="str">
        <f>IFERROR(INDEX(Input!$G$2:$G$501,MATCH(220,Input!$J$2:$J$501,0)),"")</f>
        <v/>
      </c>
      <c r="H221" t="str">
        <f>IFERROR(INDEX(Input!$H$2:$H$501,MATCH(220,Input!$J$2:$J$501,0)),"")</f>
        <v/>
      </c>
    </row>
    <row r="222" spans="1:8" x14ac:dyDescent="0.35">
      <c r="A222" t="str">
        <f>IFERROR(INDEX(Input!$A$2:$A$501,MATCH(221,Input!$J$2:$J$501,0)),"")</f>
        <v/>
      </c>
      <c r="B222" t="str">
        <f>IFERROR(INDEX(Input!$B$2:$B$501,MATCH(221,Input!$J$2:$J$501,0)),"")</f>
        <v/>
      </c>
      <c r="C222" t="str">
        <f>IFERROR(INDEX(Input!$C$2:$C$501,MATCH(221,Input!$J$2:$J$501,0)),"")</f>
        <v/>
      </c>
      <c r="D222" t="str">
        <f>IFERROR(INDEX(Input!$D$2:$D$501,MATCH(221,Input!$J$2:$J$501,0)),"")</f>
        <v/>
      </c>
      <c r="E222" s="3" t="str">
        <f>IFERROR(INDEX(Input!$E$2:$E$501,MATCH(221,Input!$J$2:$J$501,0)),"")</f>
        <v/>
      </c>
      <c r="F222" t="str">
        <f>IFERROR(INDEX(Input!$F$2:$F$501,MATCH(221,Input!$J$2:$J$501,0)),"")</f>
        <v/>
      </c>
      <c r="G222" s="3" t="str">
        <f>IFERROR(INDEX(Input!$G$2:$G$501,MATCH(221,Input!$J$2:$J$501,0)),"")</f>
        <v/>
      </c>
      <c r="H222" t="str">
        <f>IFERROR(INDEX(Input!$H$2:$H$501,MATCH(221,Input!$J$2:$J$501,0)),"")</f>
        <v/>
      </c>
    </row>
    <row r="223" spans="1:8" x14ac:dyDescent="0.35">
      <c r="A223" t="str">
        <f>IFERROR(INDEX(Input!$A$2:$A$501,MATCH(222,Input!$J$2:$J$501,0)),"")</f>
        <v/>
      </c>
      <c r="B223" t="str">
        <f>IFERROR(INDEX(Input!$B$2:$B$501,MATCH(222,Input!$J$2:$J$501,0)),"")</f>
        <v/>
      </c>
      <c r="C223" t="str">
        <f>IFERROR(INDEX(Input!$C$2:$C$501,MATCH(222,Input!$J$2:$J$501,0)),"")</f>
        <v/>
      </c>
      <c r="D223" t="str">
        <f>IFERROR(INDEX(Input!$D$2:$D$501,MATCH(222,Input!$J$2:$J$501,0)),"")</f>
        <v/>
      </c>
      <c r="E223" s="3" t="str">
        <f>IFERROR(INDEX(Input!$E$2:$E$501,MATCH(222,Input!$J$2:$J$501,0)),"")</f>
        <v/>
      </c>
      <c r="F223" t="str">
        <f>IFERROR(INDEX(Input!$F$2:$F$501,MATCH(222,Input!$J$2:$J$501,0)),"")</f>
        <v/>
      </c>
      <c r="G223" s="3" t="str">
        <f>IFERROR(INDEX(Input!$G$2:$G$501,MATCH(222,Input!$J$2:$J$501,0)),"")</f>
        <v/>
      </c>
      <c r="H223" t="str">
        <f>IFERROR(INDEX(Input!$H$2:$H$501,MATCH(222,Input!$J$2:$J$501,0)),"")</f>
        <v/>
      </c>
    </row>
    <row r="224" spans="1:8" x14ac:dyDescent="0.35">
      <c r="A224" t="str">
        <f>IFERROR(INDEX(Input!$A$2:$A$501,MATCH(223,Input!$J$2:$J$501,0)),"")</f>
        <v/>
      </c>
      <c r="B224" t="str">
        <f>IFERROR(INDEX(Input!$B$2:$B$501,MATCH(223,Input!$J$2:$J$501,0)),"")</f>
        <v/>
      </c>
      <c r="C224" t="str">
        <f>IFERROR(INDEX(Input!$C$2:$C$501,MATCH(223,Input!$J$2:$J$501,0)),"")</f>
        <v/>
      </c>
      <c r="D224" t="str">
        <f>IFERROR(INDEX(Input!$D$2:$D$501,MATCH(223,Input!$J$2:$J$501,0)),"")</f>
        <v/>
      </c>
      <c r="E224" s="3" t="str">
        <f>IFERROR(INDEX(Input!$E$2:$E$501,MATCH(223,Input!$J$2:$J$501,0)),"")</f>
        <v/>
      </c>
      <c r="F224" t="str">
        <f>IFERROR(INDEX(Input!$F$2:$F$501,MATCH(223,Input!$J$2:$J$501,0)),"")</f>
        <v/>
      </c>
      <c r="G224" s="3" t="str">
        <f>IFERROR(INDEX(Input!$G$2:$G$501,MATCH(223,Input!$J$2:$J$501,0)),"")</f>
        <v/>
      </c>
      <c r="H224" t="str">
        <f>IFERROR(INDEX(Input!$H$2:$H$501,MATCH(223,Input!$J$2:$J$501,0)),"")</f>
        <v/>
      </c>
    </row>
    <row r="225" spans="1:8" x14ac:dyDescent="0.35">
      <c r="A225" t="str">
        <f>IFERROR(INDEX(Input!$A$2:$A$501,MATCH(224,Input!$J$2:$J$501,0)),"")</f>
        <v/>
      </c>
      <c r="B225" t="str">
        <f>IFERROR(INDEX(Input!$B$2:$B$501,MATCH(224,Input!$J$2:$J$501,0)),"")</f>
        <v/>
      </c>
      <c r="C225" t="str">
        <f>IFERROR(INDEX(Input!$C$2:$C$501,MATCH(224,Input!$J$2:$J$501,0)),"")</f>
        <v/>
      </c>
      <c r="D225" t="str">
        <f>IFERROR(INDEX(Input!$D$2:$D$501,MATCH(224,Input!$J$2:$J$501,0)),"")</f>
        <v/>
      </c>
      <c r="E225" s="3" t="str">
        <f>IFERROR(INDEX(Input!$E$2:$E$501,MATCH(224,Input!$J$2:$J$501,0)),"")</f>
        <v/>
      </c>
      <c r="F225" t="str">
        <f>IFERROR(INDEX(Input!$F$2:$F$501,MATCH(224,Input!$J$2:$J$501,0)),"")</f>
        <v/>
      </c>
      <c r="G225" s="3" t="str">
        <f>IFERROR(INDEX(Input!$G$2:$G$501,MATCH(224,Input!$J$2:$J$501,0)),"")</f>
        <v/>
      </c>
      <c r="H225" t="str">
        <f>IFERROR(INDEX(Input!$H$2:$H$501,MATCH(224,Input!$J$2:$J$501,0)),"")</f>
        <v/>
      </c>
    </row>
    <row r="226" spans="1:8" x14ac:dyDescent="0.35">
      <c r="A226" t="str">
        <f>IFERROR(INDEX(Input!$A$2:$A$501,MATCH(225,Input!$J$2:$J$501,0)),"")</f>
        <v/>
      </c>
      <c r="B226" t="str">
        <f>IFERROR(INDEX(Input!$B$2:$B$501,MATCH(225,Input!$J$2:$J$501,0)),"")</f>
        <v/>
      </c>
      <c r="C226" t="str">
        <f>IFERROR(INDEX(Input!$C$2:$C$501,MATCH(225,Input!$J$2:$J$501,0)),"")</f>
        <v/>
      </c>
      <c r="D226" t="str">
        <f>IFERROR(INDEX(Input!$D$2:$D$501,MATCH(225,Input!$J$2:$J$501,0)),"")</f>
        <v/>
      </c>
      <c r="E226" s="3" t="str">
        <f>IFERROR(INDEX(Input!$E$2:$E$501,MATCH(225,Input!$J$2:$J$501,0)),"")</f>
        <v/>
      </c>
      <c r="F226" t="str">
        <f>IFERROR(INDEX(Input!$F$2:$F$501,MATCH(225,Input!$J$2:$J$501,0)),"")</f>
        <v/>
      </c>
      <c r="G226" s="3" t="str">
        <f>IFERROR(INDEX(Input!$G$2:$G$501,MATCH(225,Input!$J$2:$J$501,0)),"")</f>
        <v/>
      </c>
      <c r="H226" t="str">
        <f>IFERROR(INDEX(Input!$H$2:$H$501,MATCH(225,Input!$J$2:$J$501,0)),"")</f>
        <v/>
      </c>
    </row>
    <row r="227" spans="1:8" x14ac:dyDescent="0.35">
      <c r="A227" t="str">
        <f>IFERROR(INDEX(Input!$A$2:$A$501,MATCH(226,Input!$J$2:$J$501,0)),"")</f>
        <v/>
      </c>
      <c r="B227" t="str">
        <f>IFERROR(INDEX(Input!$B$2:$B$501,MATCH(226,Input!$J$2:$J$501,0)),"")</f>
        <v/>
      </c>
      <c r="C227" t="str">
        <f>IFERROR(INDEX(Input!$C$2:$C$501,MATCH(226,Input!$J$2:$J$501,0)),"")</f>
        <v/>
      </c>
      <c r="D227" t="str">
        <f>IFERROR(INDEX(Input!$D$2:$D$501,MATCH(226,Input!$J$2:$J$501,0)),"")</f>
        <v/>
      </c>
      <c r="E227" s="3" t="str">
        <f>IFERROR(INDEX(Input!$E$2:$E$501,MATCH(226,Input!$J$2:$J$501,0)),"")</f>
        <v/>
      </c>
      <c r="F227" t="str">
        <f>IFERROR(INDEX(Input!$F$2:$F$501,MATCH(226,Input!$J$2:$J$501,0)),"")</f>
        <v/>
      </c>
      <c r="G227" s="3" t="str">
        <f>IFERROR(INDEX(Input!$G$2:$G$501,MATCH(226,Input!$J$2:$J$501,0)),"")</f>
        <v/>
      </c>
      <c r="H227" t="str">
        <f>IFERROR(INDEX(Input!$H$2:$H$501,MATCH(226,Input!$J$2:$J$501,0)),"")</f>
        <v/>
      </c>
    </row>
    <row r="228" spans="1:8" x14ac:dyDescent="0.35">
      <c r="A228" t="str">
        <f>IFERROR(INDEX(Input!$A$2:$A$501,MATCH(227,Input!$J$2:$J$501,0)),"")</f>
        <v/>
      </c>
      <c r="B228" t="str">
        <f>IFERROR(INDEX(Input!$B$2:$B$501,MATCH(227,Input!$J$2:$J$501,0)),"")</f>
        <v/>
      </c>
      <c r="C228" t="str">
        <f>IFERROR(INDEX(Input!$C$2:$C$501,MATCH(227,Input!$J$2:$J$501,0)),"")</f>
        <v/>
      </c>
      <c r="D228" t="str">
        <f>IFERROR(INDEX(Input!$D$2:$D$501,MATCH(227,Input!$J$2:$J$501,0)),"")</f>
        <v/>
      </c>
      <c r="E228" s="3" t="str">
        <f>IFERROR(INDEX(Input!$E$2:$E$501,MATCH(227,Input!$J$2:$J$501,0)),"")</f>
        <v/>
      </c>
      <c r="F228" t="str">
        <f>IFERROR(INDEX(Input!$F$2:$F$501,MATCH(227,Input!$J$2:$J$501,0)),"")</f>
        <v/>
      </c>
      <c r="G228" s="3" t="str">
        <f>IFERROR(INDEX(Input!$G$2:$G$501,MATCH(227,Input!$J$2:$J$501,0)),"")</f>
        <v/>
      </c>
      <c r="H228" t="str">
        <f>IFERROR(INDEX(Input!$H$2:$H$501,MATCH(227,Input!$J$2:$J$501,0)),"")</f>
        <v/>
      </c>
    </row>
    <row r="229" spans="1:8" x14ac:dyDescent="0.35">
      <c r="A229" t="str">
        <f>IFERROR(INDEX(Input!$A$2:$A$501,MATCH(228,Input!$J$2:$J$501,0)),"")</f>
        <v/>
      </c>
      <c r="B229" t="str">
        <f>IFERROR(INDEX(Input!$B$2:$B$501,MATCH(228,Input!$J$2:$J$501,0)),"")</f>
        <v/>
      </c>
      <c r="C229" t="str">
        <f>IFERROR(INDEX(Input!$C$2:$C$501,MATCH(228,Input!$J$2:$J$501,0)),"")</f>
        <v/>
      </c>
      <c r="D229" t="str">
        <f>IFERROR(INDEX(Input!$D$2:$D$501,MATCH(228,Input!$J$2:$J$501,0)),"")</f>
        <v/>
      </c>
      <c r="E229" s="3" t="str">
        <f>IFERROR(INDEX(Input!$E$2:$E$501,MATCH(228,Input!$J$2:$J$501,0)),"")</f>
        <v/>
      </c>
      <c r="F229" t="str">
        <f>IFERROR(INDEX(Input!$F$2:$F$501,MATCH(228,Input!$J$2:$J$501,0)),"")</f>
        <v/>
      </c>
      <c r="G229" s="3" t="str">
        <f>IFERROR(INDEX(Input!$G$2:$G$501,MATCH(228,Input!$J$2:$J$501,0)),"")</f>
        <v/>
      </c>
      <c r="H229" t="str">
        <f>IFERROR(INDEX(Input!$H$2:$H$501,MATCH(228,Input!$J$2:$J$501,0)),"")</f>
        <v/>
      </c>
    </row>
    <row r="230" spans="1:8" x14ac:dyDescent="0.35">
      <c r="A230" t="str">
        <f>IFERROR(INDEX(Input!$A$2:$A$501,MATCH(229,Input!$J$2:$J$501,0)),"")</f>
        <v/>
      </c>
      <c r="B230" t="str">
        <f>IFERROR(INDEX(Input!$B$2:$B$501,MATCH(229,Input!$J$2:$J$501,0)),"")</f>
        <v/>
      </c>
      <c r="C230" t="str">
        <f>IFERROR(INDEX(Input!$C$2:$C$501,MATCH(229,Input!$J$2:$J$501,0)),"")</f>
        <v/>
      </c>
      <c r="D230" t="str">
        <f>IFERROR(INDEX(Input!$D$2:$D$501,MATCH(229,Input!$J$2:$J$501,0)),"")</f>
        <v/>
      </c>
      <c r="E230" s="3" t="str">
        <f>IFERROR(INDEX(Input!$E$2:$E$501,MATCH(229,Input!$J$2:$J$501,0)),"")</f>
        <v/>
      </c>
      <c r="F230" t="str">
        <f>IFERROR(INDEX(Input!$F$2:$F$501,MATCH(229,Input!$J$2:$J$501,0)),"")</f>
        <v/>
      </c>
      <c r="G230" s="3" t="str">
        <f>IFERROR(INDEX(Input!$G$2:$G$501,MATCH(229,Input!$J$2:$J$501,0)),"")</f>
        <v/>
      </c>
      <c r="H230" t="str">
        <f>IFERROR(INDEX(Input!$H$2:$H$501,MATCH(229,Input!$J$2:$J$501,0)),"")</f>
        <v/>
      </c>
    </row>
    <row r="231" spans="1:8" x14ac:dyDescent="0.35">
      <c r="A231" t="str">
        <f>IFERROR(INDEX(Input!$A$2:$A$501,MATCH(230,Input!$J$2:$J$501,0)),"")</f>
        <v/>
      </c>
      <c r="B231" t="str">
        <f>IFERROR(INDEX(Input!$B$2:$B$501,MATCH(230,Input!$J$2:$J$501,0)),"")</f>
        <v/>
      </c>
      <c r="C231" t="str">
        <f>IFERROR(INDEX(Input!$C$2:$C$501,MATCH(230,Input!$J$2:$J$501,0)),"")</f>
        <v/>
      </c>
      <c r="D231" t="str">
        <f>IFERROR(INDEX(Input!$D$2:$D$501,MATCH(230,Input!$J$2:$J$501,0)),"")</f>
        <v/>
      </c>
      <c r="E231" s="3" t="str">
        <f>IFERROR(INDEX(Input!$E$2:$E$501,MATCH(230,Input!$J$2:$J$501,0)),"")</f>
        <v/>
      </c>
      <c r="F231" t="str">
        <f>IFERROR(INDEX(Input!$F$2:$F$501,MATCH(230,Input!$J$2:$J$501,0)),"")</f>
        <v/>
      </c>
      <c r="G231" s="3" t="str">
        <f>IFERROR(INDEX(Input!$G$2:$G$501,MATCH(230,Input!$J$2:$J$501,0)),"")</f>
        <v/>
      </c>
      <c r="H231" t="str">
        <f>IFERROR(INDEX(Input!$H$2:$H$501,MATCH(230,Input!$J$2:$J$501,0)),"")</f>
        <v/>
      </c>
    </row>
    <row r="232" spans="1:8" x14ac:dyDescent="0.35">
      <c r="A232" t="str">
        <f>IFERROR(INDEX(Input!$A$2:$A$501,MATCH(231,Input!$J$2:$J$501,0)),"")</f>
        <v/>
      </c>
      <c r="B232" t="str">
        <f>IFERROR(INDEX(Input!$B$2:$B$501,MATCH(231,Input!$J$2:$J$501,0)),"")</f>
        <v/>
      </c>
      <c r="C232" t="str">
        <f>IFERROR(INDEX(Input!$C$2:$C$501,MATCH(231,Input!$J$2:$J$501,0)),"")</f>
        <v/>
      </c>
      <c r="D232" t="str">
        <f>IFERROR(INDEX(Input!$D$2:$D$501,MATCH(231,Input!$J$2:$J$501,0)),"")</f>
        <v/>
      </c>
      <c r="E232" s="3" t="str">
        <f>IFERROR(INDEX(Input!$E$2:$E$501,MATCH(231,Input!$J$2:$J$501,0)),"")</f>
        <v/>
      </c>
      <c r="F232" t="str">
        <f>IFERROR(INDEX(Input!$F$2:$F$501,MATCH(231,Input!$J$2:$J$501,0)),"")</f>
        <v/>
      </c>
      <c r="G232" s="3" t="str">
        <f>IFERROR(INDEX(Input!$G$2:$G$501,MATCH(231,Input!$J$2:$J$501,0)),"")</f>
        <v/>
      </c>
      <c r="H232" t="str">
        <f>IFERROR(INDEX(Input!$H$2:$H$501,MATCH(231,Input!$J$2:$J$501,0)),"")</f>
        <v/>
      </c>
    </row>
    <row r="233" spans="1:8" x14ac:dyDescent="0.35">
      <c r="A233" t="str">
        <f>IFERROR(INDEX(Input!$A$2:$A$501,MATCH(232,Input!$J$2:$J$501,0)),"")</f>
        <v/>
      </c>
      <c r="B233" t="str">
        <f>IFERROR(INDEX(Input!$B$2:$B$501,MATCH(232,Input!$J$2:$J$501,0)),"")</f>
        <v/>
      </c>
      <c r="C233" t="str">
        <f>IFERROR(INDEX(Input!$C$2:$C$501,MATCH(232,Input!$J$2:$J$501,0)),"")</f>
        <v/>
      </c>
      <c r="D233" t="str">
        <f>IFERROR(INDEX(Input!$D$2:$D$501,MATCH(232,Input!$J$2:$J$501,0)),"")</f>
        <v/>
      </c>
      <c r="E233" s="3" t="str">
        <f>IFERROR(INDEX(Input!$E$2:$E$501,MATCH(232,Input!$J$2:$J$501,0)),"")</f>
        <v/>
      </c>
      <c r="F233" t="str">
        <f>IFERROR(INDEX(Input!$F$2:$F$501,MATCH(232,Input!$J$2:$J$501,0)),"")</f>
        <v/>
      </c>
      <c r="G233" s="3" t="str">
        <f>IFERROR(INDEX(Input!$G$2:$G$501,MATCH(232,Input!$J$2:$J$501,0)),"")</f>
        <v/>
      </c>
      <c r="H233" t="str">
        <f>IFERROR(INDEX(Input!$H$2:$H$501,MATCH(232,Input!$J$2:$J$501,0)),"")</f>
        <v/>
      </c>
    </row>
    <row r="234" spans="1:8" x14ac:dyDescent="0.35">
      <c r="A234" t="str">
        <f>IFERROR(INDEX(Input!$A$2:$A$501,MATCH(233,Input!$J$2:$J$501,0)),"")</f>
        <v/>
      </c>
      <c r="B234" t="str">
        <f>IFERROR(INDEX(Input!$B$2:$B$501,MATCH(233,Input!$J$2:$J$501,0)),"")</f>
        <v/>
      </c>
      <c r="C234" t="str">
        <f>IFERROR(INDEX(Input!$C$2:$C$501,MATCH(233,Input!$J$2:$J$501,0)),"")</f>
        <v/>
      </c>
      <c r="D234" t="str">
        <f>IFERROR(INDEX(Input!$D$2:$D$501,MATCH(233,Input!$J$2:$J$501,0)),"")</f>
        <v/>
      </c>
      <c r="E234" s="3" t="str">
        <f>IFERROR(INDEX(Input!$E$2:$E$501,MATCH(233,Input!$J$2:$J$501,0)),"")</f>
        <v/>
      </c>
      <c r="F234" t="str">
        <f>IFERROR(INDEX(Input!$F$2:$F$501,MATCH(233,Input!$J$2:$J$501,0)),"")</f>
        <v/>
      </c>
      <c r="G234" s="3" t="str">
        <f>IFERROR(INDEX(Input!$G$2:$G$501,MATCH(233,Input!$J$2:$J$501,0)),"")</f>
        <v/>
      </c>
      <c r="H234" t="str">
        <f>IFERROR(INDEX(Input!$H$2:$H$501,MATCH(233,Input!$J$2:$J$501,0)),"")</f>
        <v/>
      </c>
    </row>
    <row r="235" spans="1:8" x14ac:dyDescent="0.35">
      <c r="A235" t="str">
        <f>IFERROR(INDEX(Input!$A$2:$A$501,MATCH(234,Input!$J$2:$J$501,0)),"")</f>
        <v/>
      </c>
      <c r="B235" t="str">
        <f>IFERROR(INDEX(Input!$B$2:$B$501,MATCH(234,Input!$J$2:$J$501,0)),"")</f>
        <v/>
      </c>
      <c r="C235" t="str">
        <f>IFERROR(INDEX(Input!$C$2:$C$501,MATCH(234,Input!$J$2:$J$501,0)),"")</f>
        <v/>
      </c>
      <c r="D235" t="str">
        <f>IFERROR(INDEX(Input!$D$2:$D$501,MATCH(234,Input!$J$2:$J$501,0)),"")</f>
        <v/>
      </c>
      <c r="E235" s="3" t="str">
        <f>IFERROR(INDEX(Input!$E$2:$E$501,MATCH(234,Input!$J$2:$J$501,0)),"")</f>
        <v/>
      </c>
      <c r="F235" t="str">
        <f>IFERROR(INDEX(Input!$F$2:$F$501,MATCH(234,Input!$J$2:$J$501,0)),"")</f>
        <v/>
      </c>
      <c r="G235" s="3" t="str">
        <f>IFERROR(INDEX(Input!$G$2:$G$501,MATCH(234,Input!$J$2:$J$501,0)),"")</f>
        <v/>
      </c>
      <c r="H235" t="str">
        <f>IFERROR(INDEX(Input!$H$2:$H$501,MATCH(234,Input!$J$2:$J$501,0)),"")</f>
        <v/>
      </c>
    </row>
    <row r="236" spans="1:8" x14ac:dyDescent="0.35">
      <c r="A236" t="str">
        <f>IFERROR(INDEX(Input!$A$2:$A$501,MATCH(235,Input!$J$2:$J$501,0)),"")</f>
        <v/>
      </c>
      <c r="B236" t="str">
        <f>IFERROR(INDEX(Input!$B$2:$B$501,MATCH(235,Input!$J$2:$J$501,0)),"")</f>
        <v/>
      </c>
      <c r="C236" t="str">
        <f>IFERROR(INDEX(Input!$C$2:$C$501,MATCH(235,Input!$J$2:$J$501,0)),"")</f>
        <v/>
      </c>
      <c r="D236" t="str">
        <f>IFERROR(INDEX(Input!$D$2:$D$501,MATCH(235,Input!$J$2:$J$501,0)),"")</f>
        <v/>
      </c>
      <c r="E236" s="3" t="str">
        <f>IFERROR(INDEX(Input!$E$2:$E$501,MATCH(235,Input!$J$2:$J$501,0)),"")</f>
        <v/>
      </c>
      <c r="F236" t="str">
        <f>IFERROR(INDEX(Input!$F$2:$F$501,MATCH(235,Input!$J$2:$J$501,0)),"")</f>
        <v/>
      </c>
      <c r="G236" s="3" t="str">
        <f>IFERROR(INDEX(Input!$G$2:$G$501,MATCH(235,Input!$J$2:$J$501,0)),"")</f>
        <v/>
      </c>
      <c r="H236" t="str">
        <f>IFERROR(INDEX(Input!$H$2:$H$501,MATCH(235,Input!$J$2:$J$501,0)),"")</f>
        <v/>
      </c>
    </row>
    <row r="237" spans="1:8" x14ac:dyDescent="0.35">
      <c r="A237" t="str">
        <f>IFERROR(INDEX(Input!$A$2:$A$501,MATCH(236,Input!$J$2:$J$501,0)),"")</f>
        <v/>
      </c>
      <c r="B237" t="str">
        <f>IFERROR(INDEX(Input!$B$2:$B$501,MATCH(236,Input!$J$2:$J$501,0)),"")</f>
        <v/>
      </c>
      <c r="C237" t="str">
        <f>IFERROR(INDEX(Input!$C$2:$C$501,MATCH(236,Input!$J$2:$J$501,0)),"")</f>
        <v/>
      </c>
      <c r="D237" t="str">
        <f>IFERROR(INDEX(Input!$D$2:$D$501,MATCH(236,Input!$J$2:$J$501,0)),"")</f>
        <v/>
      </c>
      <c r="E237" s="3" t="str">
        <f>IFERROR(INDEX(Input!$E$2:$E$501,MATCH(236,Input!$J$2:$J$501,0)),"")</f>
        <v/>
      </c>
      <c r="F237" t="str">
        <f>IFERROR(INDEX(Input!$F$2:$F$501,MATCH(236,Input!$J$2:$J$501,0)),"")</f>
        <v/>
      </c>
      <c r="G237" s="3" t="str">
        <f>IFERROR(INDEX(Input!$G$2:$G$501,MATCH(236,Input!$J$2:$J$501,0)),"")</f>
        <v/>
      </c>
      <c r="H237" t="str">
        <f>IFERROR(INDEX(Input!$H$2:$H$501,MATCH(236,Input!$J$2:$J$501,0)),"")</f>
        <v/>
      </c>
    </row>
    <row r="238" spans="1:8" x14ac:dyDescent="0.35">
      <c r="A238" t="str">
        <f>IFERROR(INDEX(Input!$A$2:$A$501,MATCH(237,Input!$J$2:$J$501,0)),"")</f>
        <v/>
      </c>
      <c r="B238" t="str">
        <f>IFERROR(INDEX(Input!$B$2:$B$501,MATCH(237,Input!$J$2:$J$501,0)),"")</f>
        <v/>
      </c>
      <c r="C238" t="str">
        <f>IFERROR(INDEX(Input!$C$2:$C$501,MATCH(237,Input!$J$2:$J$501,0)),"")</f>
        <v/>
      </c>
      <c r="D238" t="str">
        <f>IFERROR(INDEX(Input!$D$2:$D$501,MATCH(237,Input!$J$2:$J$501,0)),"")</f>
        <v/>
      </c>
      <c r="E238" s="3" t="str">
        <f>IFERROR(INDEX(Input!$E$2:$E$501,MATCH(237,Input!$J$2:$J$501,0)),"")</f>
        <v/>
      </c>
      <c r="F238" t="str">
        <f>IFERROR(INDEX(Input!$F$2:$F$501,MATCH(237,Input!$J$2:$J$501,0)),"")</f>
        <v/>
      </c>
      <c r="G238" s="3" t="str">
        <f>IFERROR(INDEX(Input!$G$2:$G$501,MATCH(237,Input!$J$2:$J$501,0)),"")</f>
        <v/>
      </c>
      <c r="H238" t="str">
        <f>IFERROR(INDEX(Input!$H$2:$H$501,MATCH(237,Input!$J$2:$J$501,0)),"")</f>
        <v/>
      </c>
    </row>
    <row r="239" spans="1:8" x14ac:dyDescent="0.35">
      <c r="A239" t="str">
        <f>IFERROR(INDEX(Input!$A$2:$A$501,MATCH(238,Input!$J$2:$J$501,0)),"")</f>
        <v/>
      </c>
      <c r="B239" t="str">
        <f>IFERROR(INDEX(Input!$B$2:$B$501,MATCH(238,Input!$J$2:$J$501,0)),"")</f>
        <v/>
      </c>
      <c r="C239" t="str">
        <f>IFERROR(INDEX(Input!$C$2:$C$501,MATCH(238,Input!$J$2:$J$501,0)),"")</f>
        <v/>
      </c>
      <c r="D239" t="str">
        <f>IFERROR(INDEX(Input!$D$2:$D$501,MATCH(238,Input!$J$2:$J$501,0)),"")</f>
        <v/>
      </c>
      <c r="E239" s="3" t="str">
        <f>IFERROR(INDEX(Input!$E$2:$E$501,MATCH(238,Input!$J$2:$J$501,0)),"")</f>
        <v/>
      </c>
      <c r="F239" t="str">
        <f>IFERROR(INDEX(Input!$F$2:$F$501,MATCH(238,Input!$J$2:$J$501,0)),"")</f>
        <v/>
      </c>
      <c r="G239" s="3" t="str">
        <f>IFERROR(INDEX(Input!$G$2:$G$501,MATCH(238,Input!$J$2:$J$501,0)),"")</f>
        <v/>
      </c>
      <c r="H239" t="str">
        <f>IFERROR(INDEX(Input!$H$2:$H$501,MATCH(238,Input!$J$2:$J$501,0)),"")</f>
        <v/>
      </c>
    </row>
    <row r="240" spans="1:8" x14ac:dyDescent="0.35">
      <c r="A240" t="str">
        <f>IFERROR(INDEX(Input!$A$2:$A$501,MATCH(239,Input!$J$2:$J$501,0)),"")</f>
        <v/>
      </c>
      <c r="B240" t="str">
        <f>IFERROR(INDEX(Input!$B$2:$B$501,MATCH(239,Input!$J$2:$J$501,0)),"")</f>
        <v/>
      </c>
      <c r="C240" t="str">
        <f>IFERROR(INDEX(Input!$C$2:$C$501,MATCH(239,Input!$J$2:$J$501,0)),"")</f>
        <v/>
      </c>
      <c r="D240" t="str">
        <f>IFERROR(INDEX(Input!$D$2:$D$501,MATCH(239,Input!$J$2:$J$501,0)),"")</f>
        <v/>
      </c>
      <c r="E240" s="3" t="str">
        <f>IFERROR(INDEX(Input!$E$2:$E$501,MATCH(239,Input!$J$2:$J$501,0)),"")</f>
        <v/>
      </c>
      <c r="F240" t="str">
        <f>IFERROR(INDEX(Input!$F$2:$F$501,MATCH(239,Input!$J$2:$J$501,0)),"")</f>
        <v/>
      </c>
      <c r="G240" s="3" t="str">
        <f>IFERROR(INDEX(Input!$G$2:$G$501,MATCH(239,Input!$J$2:$J$501,0)),"")</f>
        <v/>
      </c>
      <c r="H240" t="str">
        <f>IFERROR(INDEX(Input!$H$2:$H$501,MATCH(239,Input!$J$2:$J$501,0)),"")</f>
        <v/>
      </c>
    </row>
    <row r="241" spans="1:8" x14ac:dyDescent="0.35">
      <c r="A241" t="str">
        <f>IFERROR(INDEX(Input!$A$2:$A$501,MATCH(240,Input!$J$2:$J$501,0)),"")</f>
        <v/>
      </c>
      <c r="B241" t="str">
        <f>IFERROR(INDEX(Input!$B$2:$B$501,MATCH(240,Input!$J$2:$J$501,0)),"")</f>
        <v/>
      </c>
      <c r="C241" t="str">
        <f>IFERROR(INDEX(Input!$C$2:$C$501,MATCH(240,Input!$J$2:$J$501,0)),"")</f>
        <v/>
      </c>
      <c r="D241" t="str">
        <f>IFERROR(INDEX(Input!$D$2:$D$501,MATCH(240,Input!$J$2:$J$501,0)),"")</f>
        <v/>
      </c>
      <c r="E241" s="3" t="str">
        <f>IFERROR(INDEX(Input!$E$2:$E$501,MATCH(240,Input!$J$2:$J$501,0)),"")</f>
        <v/>
      </c>
      <c r="F241" t="str">
        <f>IFERROR(INDEX(Input!$F$2:$F$501,MATCH(240,Input!$J$2:$J$501,0)),"")</f>
        <v/>
      </c>
      <c r="G241" s="3" t="str">
        <f>IFERROR(INDEX(Input!$G$2:$G$501,MATCH(240,Input!$J$2:$J$501,0)),"")</f>
        <v/>
      </c>
      <c r="H241" t="str">
        <f>IFERROR(INDEX(Input!$H$2:$H$501,MATCH(240,Input!$J$2:$J$501,0)),"")</f>
        <v/>
      </c>
    </row>
    <row r="242" spans="1:8" x14ac:dyDescent="0.35">
      <c r="A242" t="str">
        <f>IFERROR(INDEX(Input!$A$2:$A$501,MATCH(241,Input!$J$2:$J$501,0)),"")</f>
        <v/>
      </c>
      <c r="B242" t="str">
        <f>IFERROR(INDEX(Input!$B$2:$B$501,MATCH(241,Input!$J$2:$J$501,0)),"")</f>
        <v/>
      </c>
      <c r="C242" t="str">
        <f>IFERROR(INDEX(Input!$C$2:$C$501,MATCH(241,Input!$J$2:$J$501,0)),"")</f>
        <v/>
      </c>
      <c r="D242" t="str">
        <f>IFERROR(INDEX(Input!$D$2:$D$501,MATCH(241,Input!$J$2:$J$501,0)),"")</f>
        <v/>
      </c>
      <c r="E242" s="3" t="str">
        <f>IFERROR(INDEX(Input!$E$2:$E$501,MATCH(241,Input!$J$2:$J$501,0)),"")</f>
        <v/>
      </c>
      <c r="F242" t="str">
        <f>IFERROR(INDEX(Input!$F$2:$F$501,MATCH(241,Input!$J$2:$J$501,0)),"")</f>
        <v/>
      </c>
      <c r="G242" s="3" t="str">
        <f>IFERROR(INDEX(Input!$G$2:$G$501,MATCH(241,Input!$J$2:$J$501,0)),"")</f>
        <v/>
      </c>
      <c r="H242" t="str">
        <f>IFERROR(INDEX(Input!$H$2:$H$501,MATCH(241,Input!$J$2:$J$501,0)),"")</f>
        <v/>
      </c>
    </row>
    <row r="243" spans="1:8" x14ac:dyDescent="0.35">
      <c r="A243" t="str">
        <f>IFERROR(INDEX(Input!$A$2:$A$501,MATCH(242,Input!$J$2:$J$501,0)),"")</f>
        <v/>
      </c>
      <c r="B243" t="str">
        <f>IFERROR(INDEX(Input!$B$2:$B$501,MATCH(242,Input!$J$2:$J$501,0)),"")</f>
        <v/>
      </c>
      <c r="C243" t="str">
        <f>IFERROR(INDEX(Input!$C$2:$C$501,MATCH(242,Input!$J$2:$J$501,0)),"")</f>
        <v/>
      </c>
      <c r="D243" t="str">
        <f>IFERROR(INDEX(Input!$D$2:$D$501,MATCH(242,Input!$J$2:$J$501,0)),"")</f>
        <v/>
      </c>
      <c r="E243" s="3" t="str">
        <f>IFERROR(INDEX(Input!$E$2:$E$501,MATCH(242,Input!$J$2:$J$501,0)),"")</f>
        <v/>
      </c>
      <c r="F243" t="str">
        <f>IFERROR(INDEX(Input!$F$2:$F$501,MATCH(242,Input!$J$2:$J$501,0)),"")</f>
        <v/>
      </c>
      <c r="G243" s="3" t="str">
        <f>IFERROR(INDEX(Input!$G$2:$G$501,MATCH(242,Input!$J$2:$J$501,0)),"")</f>
        <v/>
      </c>
      <c r="H243" t="str">
        <f>IFERROR(INDEX(Input!$H$2:$H$501,MATCH(242,Input!$J$2:$J$501,0)),"")</f>
        <v/>
      </c>
    </row>
    <row r="244" spans="1:8" x14ac:dyDescent="0.35">
      <c r="A244" t="str">
        <f>IFERROR(INDEX(Input!$A$2:$A$501,MATCH(243,Input!$J$2:$J$501,0)),"")</f>
        <v/>
      </c>
      <c r="B244" t="str">
        <f>IFERROR(INDEX(Input!$B$2:$B$501,MATCH(243,Input!$J$2:$J$501,0)),"")</f>
        <v/>
      </c>
      <c r="C244" t="str">
        <f>IFERROR(INDEX(Input!$C$2:$C$501,MATCH(243,Input!$J$2:$J$501,0)),"")</f>
        <v/>
      </c>
      <c r="D244" t="str">
        <f>IFERROR(INDEX(Input!$D$2:$D$501,MATCH(243,Input!$J$2:$J$501,0)),"")</f>
        <v/>
      </c>
      <c r="E244" s="3" t="str">
        <f>IFERROR(INDEX(Input!$E$2:$E$501,MATCH(243,Input!$J$2:$J$501,0)),"")</f>
        <v/>
      </c>
      <c r="F244" t="str">
        <f>IFERROR(INDEX(Input!$F$2:$F$501,MATCH(243,Input!$J$2:$J$501,0)),"")</f>
        <v/>
      </c>
      <c r="G244" s="3" t="str">
        <f>IFERROR(INDEX(Input!$G$2:$G$501,MATCH(243,Input!$J$2:$J$501,0)),"")</f>
        <v/>
      </c>
      <c r="H244" t="str">
        <f>IFERROR(INDEX(Input!$H$2:$H$501,MATCH(243,Input!$J$2:$J$501,0)),"")</f>
        <v/>
      </c>
    </row>
    <row r="245" spans="1:8" x14ac:dyDescent="0.35">
      <c r="A245" t="str">
        <f>IFERROR(INDEX(Input!$A$2:$A$501,MATCH(244,Input!$J$2:$J$501,0)),"")</f>
        <v/>
      </c>
      <c r="B245" t="str">
        <f>IFERROR(INDEX(Input!$B$2:$B$501,MATCH(244,Input!$J$2:$J$501,0)),"")</f>
        <v/>
      </c>
      <c r="C245" t="str">
        <f>IFERROR(INDEX(Input!$C$2:$C$501,MATCH(244,Input!$J$2:$J$501,0)),"")</f>
        <v/>
      </c>
      <c r="D245" t="str">
        <f>IFERROR(INDEX(Input!$D$2:$D$501,MATCH(244,Input!$J$2:$J$501,0)),"")</f>
        <v/>
      </c>
      <c r="E245" s="3" t="str">
        <f>IFERROR(INDEX(Input!$E$2:$E$501,MATCH(244,Input!$J$2:$J$501,0)),"")</f>
        <v/>
      </c>
      <c r="F245" t="str">
        <f>IFERROR(INDEX(Input!$F$2:$F$501,MATCH(244,Input!$J$2:$J$501,0)),"")</f>
        <v/>
      </c>
      <c r="G245" s="3" t="str">
        <f>IFERROR(INDEX(Input!$G$2:$G$501,MATCH(244,Input!$J$2:$J$501,0)),"")</f>
        <v/>
      </c>
      <c r="H245" t="str">
        <f>IFERROR(INDEX(Input!$H$2:$H$501,MATCH(244,Input!$J$2:$J$501,0)),"")</f>
        <v/>
      </c>
    </row>
    <row r="246" spans="1:8" x14ac:dyDescent="0.35">
      <c r="A246" t="str">
        <f>IFERROR(INDEX(Input!$A$2:$A$501,MATCH(245,Input!$J$2:$J$501,0)),"")</f>
        <v/>
      </c>
      <c r="B246" t="str">
        <f>IFERROR(INDEX(Input!$B$2:$B$501,MATCH(245,Input!$J$2:$J$501,0)),"")</f>
        <v/>
      </c>
      <c r="C246" t="str">
        <f>IFERROR(INDEX(Input!$C$2:$C$501,MATCH(245,Input!$J$2:$J$501,0)),"")</f>
        <v/>
      </c>
      <c r="D246" t="str">
        <f>IFERROR(INDEX(Input!$D$2:$D$501,MATCH(245,Input!$J$2:$J$501,0)),"")</f>
        <v/>
      </c>
      <c r="E246" s="3" t="str">
        <f>IFERROR(INDEX(Input!$E$2:$E$501,MATCH(245,Input!$J$2:$J$501,0)),"")</f>
        <v/>
      </c>
      <c r="F246" t="str">
        <f>IFERROR(INDEX(Input!$F$2:$F$501,MATCH(245,Input!$J$2:$J$501,0)),"")</f>
        <v/>
      </c>
      <c r="G246" s="3" t="str">
        <f>IFERROR(INDEX(Input!$G$2:$G$501,MATCH(245,Input!$J$2:$J$501,0)),"")</f>
        <v/>
      </c>
      <c r="H246" t="str">
        <f>IFERROR(INDEX(Input!$H$2:$H$501,MATCH(245,Input!$J$2:$J$501,0)),"")</f>
        <v/>
      </c>
    </row>
    <row r="247" spans="1:8" x14ac:dyDescent="0.35">
      <c r="A247" t="str">
        <f>IFERROR(INDEX(Input!$A$2:$A$501,MATCH(246,Input!$J$2:$J$501,0)),"")</f>
        <v/>
      </c>
      <c r="B247" t="str">
        <f>IFERROR(INDEX(Input!$B$2:$B$501,MATCH(246,Input!$J$2:$J$501,0)),"")</f>
        <v/>
      </c>
      <c r="C247" t="str">
        <f>IFERROR(INDEX(Input!$C$2:$C$501,MATCH(246,Input!$J$2:$J$501,0)),"")</f>
        <v/>
      </c>
      <c r="D247" t="str">
        <f>IFERROR(INDEX(Input!$D$2:$D$501,MATCH(246,Input!$J$2:$J$501,0)),"")</f>
        <v/>
      </c>
      <c r="E247" s="3" t="str">
        <f>IFERROR(INDEX(Input!$E$2:$E$501,MATCH(246,Input!$J$2:$J$501,0)),"")</f>
        <v/>
      </c>
      <c r="F247" t="str">
        <f>IFERROR(INDEX(Input!$F$2:$F$501,MATCH(246,Input!$J$2:$J$501,0)),"")</f>
        <v/>
      </c>
      <c r="G247" s="3" t="str">
        <f>IFERROR(INDEX(Input!$G$2:$G$501,MATCH(246,Input!$J$2:$J$501,0)),"")</f>
        <v/>
      </c>
      <c r="H247" t="str">
        <f>IFERROR(INDEX(Input!$H$2:$H$501,MATCH(246,Input!$J$2:$J$501,0)),"")</f>
        <v/>
      </c>
    </row>
    <row r="248" spans="1:8" x14ac:dyDescent="0.35">
      <c r="A248" t="str">
        <f>IFERROR(INDEX(Input!$A$2:$A$501,MATCH(247,Input!$J$2:$J$501,0)),"")</f>
        <v/>
      </c>
      <c r="B248" t="str">
        <f>IFERROR(INDEX(Input!$B$2:$B$501,MATCH(247,Input!$J$2:$J$501,0)),"")</f>
        <v/>
      </c>
      <c r="C248" t="str">
        <f>IFERROR(INDEX(Input!$C$2:$C$501,MATCH(247,Input!$J$2:$J$501,0)),"")</f>
        <v/>
      </c>
      <c r="D248" t="str">
        <f>IFERROR(INDEX(Input!$D$2:$D$501,MATCH(247,Input!$J$2:$J$501,0)),"")</f>
        <v/>
      </c>
      <c r="E248" s="3" t="str">
        <f>IFERROR(INDEX(Input!$E$2:$E$501,MATCH(247,Input!$J$2:$J$501,0)),"")</f>
        <v/>
      </c>
      <c r="F248" t="str">
        <f>IFERROR(INDEX(Input!$F$2:$F$501,MATCH(247,Input!$J$2:$J$501,0)),"")</f>
        <v/>
      </c>
      <c r="G248" s="3" t="str">
        <f>IFERROR(INDEX(Input!$G$2:$G$501,MATCH(247,Input!$J$2:$J$501,0)),"")</f>
        <v/>
      </c>
      <c r="H248" t="str">
        <f>IFERROR(INDEX(Input!$H$2:$H$501,MATCH(247,Input!$J$2:$J$501,0)),"")</f>
        <v/>
      </c>
    </row>
    <row r="249" spans="1:8" x14ac:dyDescent="0.35">
      <c r="A249" t="str">
        <f>IFERROR(INDEX(Input!$A$2:$A$501,MATCH(248,Input!$J$2:$J$501,0)),"")</f>
        <v/>
      </c>
      <c r="B249" t="str">
        <f>IFERROR(INDEX(Input!$B$2:$B$501,MATCH(248,Input!$J$2:$J$501,0)),"")</f>
        <v/>
      </c>
      <c r="C249" t="str">
        <f>IFERROR(INDEX(Input!$C$2:$C$501,MATCH(248,Input!$J$2:$J$501,0)),"")</f>
        <v/>
      </c>
      <c r="D249" t="str">
        <f>IFERROR(INDEX(Input!$D$2:$D$501,MATCH(248,Input!$J$2:$J$501,0)),"")</f>
        <v/>
      </c>
      <c r="E249" s="3" t="str">
        <f>IFERROR(INDEX(Input!$E$2:$E$501,MATCH(248,Input!$J$2:$J$501,0)),"")</f>
        <v/>
      </c>
      <c r="F249" t="str">
        <f>IFERROR(INDEX(Input!$F$2:$F$501,MATCH(248,Input!$J$2:$J$501,0)),"")</f>
        <v/>
      </c>
      <c r="G249" s="3" t="str">
        <f>IFERROR(INDEX(Input!$G$2:$G$501,MATCH(248,Input!$J$2:$J$501,0)),"")</f>
        <v/>
      </c>
      <c r="H249" t="str">
        <f>IFERROR(INDEX(Input!$H$2:$H$501,MATCH(248,Input!$J$2:$J$501,0)),"")</f>
        <v/>
      </c>
    </row>
    <row r="250" spans="1:8" x14ac:dyDescent="0.35">
      <c r="A250" t="str">
        <f>IFERROR(INDEX(Input!$A$2:$A$501,MATCH(249,Input!$J$2:$J$501,0)),"")</f>
        <v/>
      </c>
      <c r="B250" t="str">
        <f>IFERROR(INDEX(Input!$B$2:$B$501,MATCH(249,Input!$J$2:$J$501,0)),"")</f>
        <v/>
      </c>
      <c r="C250" t="str">
        <f>IFERROR(INDEX(Input!$C$2:$C$501,MATCH(249,Input!$J$2:$J$501,0)),"")</f>
        <v/>
      </c>
      <c r="D250" t="str">
        <f>IFERROR(INDEX(Input!$D$2:$D$501,MATCH(249,Input!$J$2:$J$501,0)),"")</f>
        <v/>
      </c>
      <c r="E250" s="3" t="str">
        <f>IFERROR(INDEX(Input!$E$2:$E$501,MATCH(249,Input!$J$2:$J$501,0)),"")</f>
        <v/>
      </c>
      <c r="F250" t="str">
        <f>IFERROR(INDEX(Input!$F$2:$F$501,MATCH(249,Input!$J$2:$J$501,0)),"")</f>
        <v/>
      </c>
      <c r="G250" s="3" t="str">
        <f>IFERROR(INDEX(Input!$G$2:$G$501,MATCH(249,Input!$J$2:$J$501,0)),"")</f>
        <v/>
      </c>
      <c r="H250" t="str">
        <f>IFERROR(INDEX(Input!$H$2:$H$501,MATCH(249,Input!$J$2:$J$501,0)),"")</f>
        <v/>
      </c>
    </row>
    <row r="251" spans="1:8" x14ac:dyDescent="0.35">
      <c r="A251" t="str">
        <f>IFERROR(INDEX(Input!$A$2:$A$501,MATCH(250,Input!$J$2:$J$501,0)),"")</f>
        <v/>
      </c>
      <c r="B251" t="str">
        <f>IFERROR(INDEX(Input!$B$2:$B$501,MATCH(250,Input!$J$2:$J$501,0)),"")</f>
        <v/>
      </c>
      <c r="C251" t="str">
        <f>IFERROR(INDEX(Input!$C$2:$C$501,MATCH(250,Input!$J$2:$J$501,0)),"")</f>
        <v/>
      </c>
      <c r="D251" t="str">
        <f>IFERROR(INDEX(Input!$D$2:$D$501,MATCH(250,Input!$J$2:$J$501,0)),"")</f>
        <v/>
      </c>
      <c r="E251" s="3" t="str">
        <f>IFERROR(INDEX(Input!$E$2:$E$501,MATCH(250,Input!$J$2:$J$501,0)),"")</f>
        <v/>
      </c>
      <c r="F251" t="str">
        <f>IFERROR(INDEX(Input!$F$2:$F$501,MATCH(250,Input!$J$2:$J$501,0)),"")</f>
        <v/>
      </c>
      <c r="G251" s="3" t="str">
        <f>IFERROR(INDEX(Input!$G$2:$G$501,MATCH(250,Input!$J$2:$J$501,0)),"")</f>
        <v/>
      </c>
      <c r="H251" t="str">
        <f>IFERROR(INDEX(Input!$H$2:$H$501,MATCH(250,Input!$J$2:$J$501,0)),"")</f>
        <v/>
      </c>
    </row>
    <row r="252" spans="1:8" x14ac:dyDescent="0.35">
      <c r="A252" t="str">
        <f>IFERROR(INDEX(Input!$A$2:$A$501,MATCH(251,Input!$J$2:$J$501,0)),"")</f>
        <v/>
      </c>
      <c r="B252" t="str">
        <f>IFERROR(INDEX(Input!$B$2:$B$501,MATCH(251,Input!$J$2:$J$501,0)),"")</f>
        <v/>
      </c>
      <c r="C252" t="str">
        <f>IFERROR(INDEX(Input!$C$2:$C$501,MATCH(251,Input!$J$2:$J$501,0)),"")</f>
        <v/>
      </c>
      <c r="D252" t="str">
        <f>IFERROR(INDEX(Input!$D$2:$D$501,MATCH(251,Input!$J$2:$J$501,0)),"")</f>
        <v/>
      </c>
      <c r="E252" s="3" t="str">
        <f>IFERROR(INDEX(Input!$E$2:$E$501,MATCH(251,Input!$J$2:$J$501,0)),"")</f>
        <v/>
      </c>
      <c r="F252" t="str">
        <f>IFERROR(INDEX(Input!$F$2:$F$501,MATCH(251,Input!$J$2:$J$501,0)),"")</f>
        <v/>
      </c>
      <c r="G252" s="3" t="str">
        <f>IFERROR(INDEX(Input!$G$2:$G$501,MATCH(251,Input!$J$2:$J$501,0)),"")</f>
        <v/>
      </c>
      <c r="H252" t="str">
        <f>IFERROR(INDEX(Input!$H$2:$H$501,MATCH(251,Input!$J$2:$J$501,0)),"")</f>
        <v/>
      </c>
    </row>
    <row r="253" spans="1:8" x14ac:dyDescent="0.35">
      <c r="A253" t="str">
        <f>IFERROR(INDEX(Input!$A$2:$A$501,MATCH(252,Input!$J$2:$J$501,0)),"")</f>
        <v/>
      </c>
      <c r="B253" t="str">
        <f>IFERROR(INDEX(Input!$B$2:$B$501,MATCH(252,Input!$J$2:$J$501,0)),"")</f>
        <v/>
      </c>
      <c r="C253" t="str">
        <f>IFERROR(INDEX(Input!$C$2:$C$501,MATCH(252,Input!$J$2:$J$501,0)),"")</f>
        <v/>
      </c>
      <c r="D253" t="str">
        <f>IFERROR(INDEX(Input!$D$2:$D$501,MATCH(252,Input!$J$2:$J$501,0)),"")</f>
        <v/>
      </c>
      <c r="E253" s="3" t="str">
        <f>IFERROR(INDEX(Input!$E$2:$E$501,MATCH(252,Input!$J$2:$J$501,0)),"")</f>
        <v/>
      </c>
      <c r="F253" t="str">
        <f>IFERROR(INDEX(Input!$F$2:$F$501,MATCH(252,Input!$J$2:$J$501,0)),"")</f>
        <v/>
      </c>
      <c r="G253" s="3" t="str">
        <f>IFERROR(INDEX(Input!$G$2:$G$501,MATCH(252,Input!$J$2:$J$501,0)),"")</f>
        <v/>
      </c>
      <c r="H253" t="str">
        <f>IFERROR(INDEX(Input!$H$2:$H$501,MATCH(252,Input!$J$2:$J$501,0)),"")</f>
        <v/>
      </c>
    </row>
    <row r="254" spans="1:8" x14ac:dyDescent="0.35">
      <c r="A254" t="str">
        <f>IFERROR(INDEX(Input!$A$2:$A$501,MATCH(253,Input!$J$2:$J$501,0)),"")</f>
        <v/>
      </c>
      <c r="B254" t="str">
        <f>IFERROR(INDEX(Input!$B$2:$B$501,MATCH(253,Input!$J$2:$J$501,0)),"")</f>
        <v/>
      </c>
      <c r="C254" t="str">
        <f>IFERROR(INDEX(Input!$C$2:$C$501,MATCH(253,Input!$J$2:$J$501,0)),"")</f>
        <v/>
      </c>
      <c r="D254" t="str">
        <f>IFERROR(INDEX(Input!$D$2:$D$501,MATCH(253,Input!$J$2:$J$501,0)),"")</f>
        <v/>
      </c>
      <c r="E254" s="3" t="str">
        <f>IFERROR(INDEX(Input!$E$2:$E$501,MATCH(253,Input!$J$2:$J$501,0)),"")</f>
        <v/>
      </c>
      <c r="F254" t="str">
        <f>IFERROR(INDEX(Input!$F$2:$F$501,MATCH(253,Input!$J$2:$J$501,0)),"")</f>
        <v/>
      </c>
      <c r="G254" s="3" t="str">
        <f>IFERROR(INDEX(Input!$G$2:$G$501,MATCH(253,Input!$J$2:$J$501,0)),"")</f>
        <v/>
      </c>
      <c r="H254" t="str">
        <f>IFERROR(INDEX(Input!$H$2:$H$501,MATCH(253,Input!$J$2:$J$501,0)),"")</f>
        <v/>
      </c>
    </row>
    <row r="255" spans="1:8" x14ac:dyDescent="0.35">
      <c r="A255" t="str">
        <f>IFERROR(INDEX(Input!$A$2:$A$501,MATCH(254,Input!$J$2:$J$501,0)),"")</f>
        <v/>
      </c>
      <c r="B255" t="str">
        <f>IFERROR(INDEX(Input!$B$2:$B$501,MATCH(254,Input!$J$2:$J$501,0)),"")</f>
        <v/>
      </c>
      <c r="C255" t="str">
        <f>IFERROR(INDEX(Input!$C$2:$C$501,MATCH(254,Input!$J$2:$J$501,0)),"")</f>
        <v/>
      </c>
      <c r="D255" t="str">
        <f>IFERROR(INDEX(Input!$D$2:$D$501,MATCH(254,Input!$J$2:$J$501,0)),"")</f>
        <v/>
      </c>
      <c r="E255" s="3" t="str">
        <f>IFERROR(INDEX(Input!$E$2:$E$501,MATCH(254,Input!$J$2:$J$501,0)),"")</f>
        <v/>
      </c>
      <c r="F255" t="str">
        <f>IFERROR(INDEX(Input!$F$2:$F$501,MATCH(254,Input!$J$2:$J$501,0)),"")</f>
        <v/>
      </c>
      <c r="G255" s="3" t="str">
        <f>IFERROR(INDEX(Input!$G$2:$G$501,MATCH(254,Input!$J$2:$J$501,0)),"")</f>
        <v/>
      </c>
      <c r="H255" t="str">
        <f>IFERROR(INDEX(Input!$H$2:$H$501,MATCH(254,Input!$J$2:$J$501,0)),"")</f>
        <v/>
      </c>
    </row>
    <row r="256" spans="1:8" x14ac:dyDescent="0.35">
      <c r="A256" t="str">
        <f>IFERROR(INDEX(Input!$A$2:$A$501,MATCH(255,Input!$J$2:$J$501,0)),"")</f>
        <v/>
      </c>
      <c r="B256" t="str">
        <f>IFERROR(INDEX(Input!$B$2:$B$501,MATCH(255,Input!$J$2:$J$501,0)),"")</f>
        <v/>
      </c>
      <c r="C256" t="str">
        <f>IFERROR(INDEX(Input!$C$2:$C$501,MATCH(255,Input!$J$2:$J$501,0)),"")</f>
        <v/>
      </c>
      <c r="D256" t="str">
        <f>IFERROR(INDEX(Input!$D$2:$D$501,MATCH(255,Input!$J$2:$J$501,0)),"")</f>
        <v/>
      </c>
      <c r="E256" s="3" t="str">
        <f>IFERROR(INDEX(Input!$E$2:$E$501,MATCH(255,Input!$J$2:$J$501,0)),"")</f>
        <v/>
      </c>
      <c r="F256" t="str">
        <f>IFERROR(INDEX(Input!$F$2:$F$501,MATCH(255,Input!$J$2:$J$501,0)),"")</f>
        <v/>
      </c>
      <c r="G256" s="3" t="str">
        <f>IFERROR(INDEX(Input!$G$2:$G$501,MATCH(255,Input!$J$2:$J$501,0)),"")</f>
        <v/>
      </c>
      <c r="H256" t="str">
        <f>IFERROR(INDEX(Input!$H$2:$H$501,MATCH(255,Input!$J$2:$J$501,0)),"")</f>
        <v/>
      </c>
    </row>
    <row r="257" spans="1:8" x14ac:dyDescent="0.35">
      <c r="A257" t="str">
        <f>IFERROR(INDEX(Input!$A$2:$A$501,MATCH(256,Input!$J$2:$J$501,0)),"")</f>
        <v/>
      </c>
      <c r="B257" t="str">
        <f>IFERROR(INDEX(Input!$B$2:$B$501,MATCH(256,Input!$J$2:$J$501,0)),"")</f>
        <v/>
      </c>
      <c r="C257" t="str">
        <f>IFERROR(INDEX(Input!$C$2:$C$501,MATCH(256,Input!$J$2:$J$501,0)),"")</f>
        <v/>
      </c>
      <c r="D257" t="str">
        <f>IFERROR(INDEX(Input!$D$2:$D$501,MATCH(256,Input!$J$2:$J$501,0)),"")</f>
        <v/>
      </c>
      <c r="E257" s="3" t="str">
        <f>IFERROR(INDEX(Input!$E$2:$E$501,MATCH(256,Input!$J$2:$J$501,0)),"")</f>
        <v/>
      </c>
      <c r="F257" t="str">
        <f>IFERROR(INDEX(Input!$F$2:$F$501,MATCH(256,Input!$J$2:$J$501,0)),"")</f>
        <v/>
      </c>
      <c r="G257" s="3" t="str">
        <f>IFERROR(INDEX(Input!$G$2:$G$501,MATCH(256,Input!$J$2:$J$501,0)),"")</f>
        <v/>
      </c>
      <c r="H257" t="str">
        <f>IFERROR(INDEX(Input!$H$2:$H$501,MATCH(256,Input!$J$2:$J$501,0)),"")</f>
        <v/>
      </c>
    </row>
    <row r="258" spans="1:8" x14ac:dyDescent="0.35">
      <c r="A258" t="str">
        <f>IFERROR(INDEX(Input!$A$2:$A$501,MATCH(257,Input!$J$2:$J$501,0)),"")</f>
        <v/>
      </c>
      <c r="B258" t="str">
        <f>IFERROR(INDEX(Input!$B$2:$B$501,MATCH(257,Input!$J$2:$J$501,0)),"")</f>
        <v/>
      </c>
      <c r="C258" t="str">
        <f>IFERROR(INDEX(Input!$C$2:$C$501,MATCH(257,Input!$J$2:$J$501,0)),"")</f>
        <v/>
      </c>
      <c r="D258" t="str">
        <f>IFERROR(INDEX(Input!$D$2:$D$501,MATCH(257,Input!$J$2:$J$501,0)),"")</f>
        <v/>
      </c>
      <c r="E258" s="3" t="str">
        <f>IFERROR(INDEX(Input!$E$2:$E$501,MATCH(257,Input!$J$2:$J$501,0)),"")</f>
        <v/>
      </c>
      <c r="F258" t="str">
        <f>IFERROR(INDEX(Input!$F$2:$F$501,MATCH(257,Input!$J$2:$J$501,0)),"")</f>
        <v/>
      </c>
      <c r="G258" s="3" t="str">
        <f>IFERROR(INDEX(Input!$G$2:$G$501,MATCH(257,Input!$J$2:$J$501,0)),"")</f>
        <v/>
      </c>
      <c r="H258" t="str">
        <f>IFERROR(INDEX(Input!$H$2:$H$501,MATCH(257,Input!$J$2:$J$501,0)),"")</f>
        <v/>
      </c>
    </row>
    <row r="259" spans="1:8" x14ac:dyDescent="0.35">
      <c r="A259" t="str">
        <f>IFERROR(INDEX(Input!$A$2:$A$501,MATCH(258,Input!$J$2:$J$501,0)),"")</f>
        <v/>
      </c>
      <c r="B259" t="str">
        <f>IFERROR(INDEX(Input!$B$2:$B$501,MATCH(258,Input!$J$2:$J$501,0)),"")</f>
        <v/>
      </c>
      <c r="C259" t="str">
        <f>IFERROR(INDEX(Input!$C$2:$C$501,MATCH(258,Input!$J$2:$J$501,0)),"")</f>
        <v/>
      </c>
      <c r="D259" t="str">
        <f>IFERROR(INDEX(Input!$D$2:$D$501,MATCH(258,Input!$J$2:$J$501,0)),"")</f>
        <v/>
      </c>
      <c r="E259" s="3" t="str">
        <f>IFERROR(INDEX(Input!$E$2:$E$501,MATCH(258,Input!$J$2:$J$501,0)),"")</f>
        <v/>
      </c>
      <c r="F259" t="str">
        <f>IFERROR(INDEX(Input!$F$2:$F$501,MATCH(258,Input!$J$2:$J$501,0)),"")</f>
        <v/>
      </c>
      <c r="G259" s="3" t="str">
        <f>IFERROR(INDEX(Input!$G$2:$G$501,MATCH(258,Input!$J$2:$J$501,0)),"")</f>
        <v/>
      </c>
      <c r="H259" t="str">
        <f>IFERROR(INDEX(Input!$H$2:$H$501,MATCH(258,Input!$J$2:$J$501,0)),"")</f>
        <v/>
      </c>
    </row>
    <row r="260" spans="1:8" x14ac:dyDescent="0.35">
      <c r="A260" t="str">
        <f>IFERROR(INDEX(Input!$A$2:$A$501,MATCH(259,Input!$J$2:$J$501,0)),"")</f>
        <v/>
      </c>
      <c r="B260" t="str">
        <f>IFERROR(INDEX(Input!$B$2:$B$501,MATCH(259,Input!$J$2:$J$501,0)),"")</f>
        <v/>
      </c>
      <c r="C260" t="str">
        <f>IFERROR(INDEX(Input!$C$2:$C$501,MATCH(259,Input!$J$2:$J$501,0)),"")</f>
        <v/>
      </c>
      <c r="D260" t="str">
        <f>IFERROR(INDEX(Input!$D$2:$D$501,MATCH(259,Input!$J$2:$J$501,0)),"")</f>
        <v/>
      </c>
      <c r="E260" s="3" t="str">
        <f>IFERROR(INDEX(Input!$E$2:$E$501,MATCH(259,Input!$J$2:$J$501,0)),"")</f>
        <v/>
      </c>
      <c r="F260" t="str">
        <f>IFERROR(INDEX(Input!$F$2:$F$501,MATCH(259,Input!$J$2:$J$501,0)),"")</f>
        <v/>
      </c>
      <c r="G260" s="3" t="str">
        <f>IFERROR(INDEX(Input!$G$2:$G$501,MATCH(259,Input!$J$2:$J$501,0)),"")</f>
        <v/>
      </c>
      <c r="H260" t="str">
        <f>IFERROR(INDEX(Input!$H$2:$H$501,MATCH(259,Input!$J$2:$J$501,0)),"")</f>
        <v/>
      </c>
    </row>
    <row r="261" spans="1:8" x14ac:dyDescent="0.35">
      <c r="A261" t="str">
        <f>IFERROR(INDEX(Input!$A$2:$A$501,MATCH(260,Input!$J$2:$J$501,0)),"")</f>
        <v/>
      </c>
      <c r="B261" t="str">
        <f>IFERROR(INDEX(Input!$B$2:$B$501,MATCH(260,Input!$J$2:$J$501,0)),"")</f>
        <v/>
      </c>
      <c r="C261" t="str">
        <f>IFERROR(INDEX(Input!$C$2:$C$501,MATCH(260,Input!$J$2:$J$501,0)),"")</f>
        <v/>
      </c>
      <c r="D261" t="str">
        <f>IFERROR(INDEX(Input!$D$2:$D$501,MATCH(260,Input!$J$2:$J$501,0)),"")</f>
        <v/>
      </c>
      <c r="E261" s="3" t="str">
        <f>IFERROR(INDEX(Input!$E$2:$E$501,MATCH(260,Input!$J$2:$J$501,0)),"")</f>
        <v/>
      </c>
      <c r="F261" t="str">
        <f>IFERROR(INDEX(Input!$F$2:$F$501,MATCH(260,Input!$J$2:$J$501,0)),"")</f>
        <v/>
      </c>
      <c r="G261" s="3" t="str">
        <f>IFERROR(INDEX(Input!$G$2:$G$501,MATCH(260,Input!$J$2:$J$501,0)),"")</f>
        <v/>
      </c>
      <c r="H261" t="str">
        <f>IFERROR(INDEX(Input!$H$2:$H$501,MATCH(260,Input!$J$2:$J$501,0)),"")</f>
        <v/>
      </c>
    </row>
    <row r="262" spans="1:8" x14ac:dyDescent="0.35">
      <c r="A262" t="str">
        <f>IFERROR(INDEX(Input!$A$2:$A$501,MATCH(261,Input!$J$2:$J$501,0)),"")</f>
        <v/>
      </c>
      <c r="B262" t="str">
        <f>IFERROR(INDEX(Input!$B$2:$B$501,MATCH(261,Input!$J$2:$J$501,0)),"")</f>
        <v/>
      </c>
      <c r="C262" t="str">
        <f>IFERROR(INDEX(Input!$C$2:$C$501,MATCH(261,Input!$J$2:$J$501,0)),"")</f>
        <v/>
      </c>
      <c r="D262" t="str">
        <f>IFERROR(INDEX(Input!$D$2:$D$501,MATCH(261,Input!$J$2:$J$501,0)),"")</f>
        <v/>
      </c>
      <c r="E262" s="3" t="str">
        <f>IFERROR(INDEX(Input!$E$2:$E$501,MATCH(261,Input!$J$2:$J$501,0)),"")</f>
        <v/>
      </c>
      <c r="F262" t="str">
        <f>IFERROR(INDEX(Input!$F$2:$F$501,MATCH(261,Input!$J$2:$J$501,0)),"")</f>
        <v/>
      </c>
      <c r="G262" s="3" t="str">
        <f>IFERROR(INDEX(Input!$G$2:$G$501,MATCH(261,Input!$J$2:$J$501,0)),"")</f>
        <v/>
      </c>
      <c r="H262" t="str">
        <f>IFERROR(INDEX(Input!$H$2:$H$501,MATCH(261,Input!$J$2:$J$501,0)),"")</f>
        <v/>
      </c>
    </row>
    <row r="263" spans="1:8" x14ac:dyDescent="0.35">
      <c r="A263" t="str">
        <f>IFERROR(INDEX(Input!$A$2:$A$501,MATCH(262,Input!$J$2:$J$501,0)),"")</f>
        <v/>
      </c>
      <c r="B263" t="str">
        <f>IFERROR(INDEX(Input!$B$2:$B$501,MATCH(262,Input!$J$2:$J$501,0)),"")</f>
        <v/>
      </c>
      <c r="C263" t="str">
        <f>IFERROR(INDEX(Input!$C$2:$C$501,MATCH(262,Input!$J$2:$J$501,0)),"")</f>
        <v/>
      </c>
      <c r="D263" t="str">
        <f>IFERROR(INDEX(Input!$D$2:$D$501,MATCH(262,Input!$J$2:$J$501,0)),"")</f>
        <v/>
      </c>
      <c r="E263" s="3" t="str">
        <f>IFERROR(INDEX(Input!$E$2:$E$501,MATCH(262,Input!$J$2:$J$501,0)),"")</f>
        <v/>
      </c>
      <c r="F263" t="str">
        <f>IFERROR(INDEX(Input!$F$2:$F$501,MATCH(262,Input!$J$2:$J$501,0)),"")</f>
        <v/>
      </c>
      <c r="G263" s="3" t="str">
        <f>IFERROR(INDEX(Input!$G$2:$G$501,MATCH(262,Input!$J$2:$J$501,0)),"")</f>
        <v/>
      </c>
      <c r="H263" t="str">
        <f>IFERROR(INDEX(Input!$H$2:$H$501,MATCH(262,Input!$J$2:$J$501,0)),"")</f>
        <v/>
      </c>
    </row>
    <row r="264" spans="1:8" x14ac:dyDescent="0.35">
      <c r="A264" t="str">
        <f>IFERROR(INDEX(Input!$A$2:$A$501,MATCH(263,Input!$J$2:$J$501,0)),"")</f>
        <v/>
      </c>
      <c r="B264" t="str">
        <f>IFERROR(INDEX(Input!$B$2:$B$501,MATCH(263,Input!$J$2:$J$501,0)),"")</f>
        <v/>
      </c>
      <c r="C264" t="str">
        <f>IFERROR(INDEX(Input!$C$2:$C$501,MATCH(263,Input!$J$2:$J$501,0)),"")</f>
        <v/>
      </c>
      <c r="D264" t="str">
        <f>IFERROR(INDEX(Input!$D$2:$D$501,MATCH(263,Input!$J$2:$J$501,0)),"")</f>
        <v/>
      </c>
      <c r="E264" s="3" t="str">
        <f>IFERROR(INDEX(Input!$E$2:$E$501,MATCH(263,Input!$J$2:$J$501,0)),"")</f>
        <v/>
      </c>
      <c r="F264" t="str">
        <f>IFERROR(INDEX(Input!$F$2:$F$501,MATCH(263,Input!$J$2:$J$501,0)),"")</f>
        <v/>
      </c>
      <c r="G264" s="3" t="str">
        <f>IFERROR(INDEX(Input!$G$2:$G$501,MATCH(263,Input!$J$2:$J$501,0)),"")</f>
        <v/>
      </c>
      <c r="H264" t="str">
        <f>IFERROR(INDEX(Input!$H$2:$H$501,MATCH(263,Input!$J$2:$J$501,0)),"")</f>
        <v/>
      </c>
    </row>
    <row r="265" spans="1:8" x14ac:dyDescent="0.35">
      <c r="A265" t="str">
        <f>IFERROR(INDEX(Input!$A$2:$A$501,MATCH(264,Input!$J$2:$J$501,0)),"")</f>
        <v/>
      </c>
      <c r="B265" t="str">
        <f>IFERROR(INDEX(Input!$B$2:$B$501,MATCH(264,Input!$J$2:$J$501,0)),"")</f>
        <v/>
      </c>
      <c r="C265" t="str">
        <f>IFERROR(INDEX(Input!$C$2:$C$501,MATCH(264,Input!$J$2:$J$501,0)),"")</f>
        <v/>
      </c>
      <c r="D265" t="str">
        <f>IFERROR(INDEX(Input!$D$2:$D$501,MATCH(264,Input!$J$2:$J$501,0)),"")</f>
        <v/>
      </c>
      <c r="E265" s="3" t="str">
        <f>IFERROR(INDEX(Input!$E$2:$E$501,MATCH(264,Input!$J$2:$J$501,0)),"")</f>
        <v/>
      </c>
      <c r="F265" t="str">
        <f>IFERROR(INDEX(Input!$F$2:$F$501,MATCH(264,Input!$J$2:$J$501,0)),"")</f>
        <v/>
      </c>
      <c r="G265" s="3" t="str">
        <f>IFERROR(INDEX(Input!$G$2:$G$501,MATCH(264,Input!$J$2:$J$501,0)),"")</f>
        <v/>
      </c>
      <c r="H265" t="str">
        <f>IFERROR(INDEX(Input!$H$2:$H$501,MATCH(264,Input!$J$2:$J$501,0)),"")</f>
        <v/>
      </c>
    </row>
    <row r="266" spans="1:8" x14ac:dyDescent="0.35">
      <c r="A266" t="str">
        <f>IFERROR(INDEX(Input!$A$2:$A$501,MATCH(265,Input!$J$2:$J$501,0)),"")</f>
        <v/>
      </c>
      <c r="B266" t="str">
        <f>IFERROR(INDEX(Input!$B$2:$B$501,MATCH(265,Input!$J$2:$J$501,0)),"")</f>
        <v/>
      </c>
      <c r="C266" t="str">
        <f>IFERROR(INDEX(Input!$C$2:$C$501,MATCH(265,Input!$J$2:$J$501,0)),"")</f>
        <v/>
      </c>
      <c r="D266" t="str">
        <f>IFERROR(INDEX(Input!$D$2:$D$501,MATCH(265,Input!$J$2:$J$501,0)),"")</f>
        <v/>
      </c>
      <c r="E266" s="3" t="str">
        <f>IFERROR(INDEX(Input!$E$2:$E$501,MATCH(265,Input!$J$2:$J$501,0)),"")</f>
        <v/>
      </c>
      <c r="F266" t="str">
        <f>IFERROR(INDEX(Input!$F$2:$F$501,MATCH(265,Input!$J$2:$J$501,0)),"")</f>
        <v/>
      </c>
      <c r="G266" s="3" t="str">
        <f>IFERROR(INDEX(Input!$G$2:$G$501,MATCH(265,Input!$J$2:$J$501,0)),"")</f>
        <v/>
      </c>
      <c r="H266" t="str">
        <f>IFERROR(INDEX(Input!$H$2:$H$501,MATCH(265,Input!$J$2:$J$501,0)),"")</f>
        <v/>
      </c>
    </row>
    <row r="267" spans="1:8" x14ac:dyDescent="0.35">
      <c r="A267" t="str">
        <f>IFERROR(INDEX(Input!$A$2:$A$501,MATCH(266,Input!$J$2:$J$501,0)),"")</f>
        <v/>
      </c>
      <c r="B267" t="str">
        <f>IFERROR(INDEX(Input!$B$2:$B$501,MATCH(266,Input!$J$2:$J$501,0)),"")</f>
        <v/>
      </c>
      <c r="C267" t="str">
        <f>IFERROR(INDEX(Input!$C$2:$C$501,MATCH(266,Input!$J$2:$J$501,0)),"")</f>
        <v/>
      </c>
      <c r="D267" t="str">
        <f>IFERROR(INDEX(Input!$D$2:$D$501,MATCH(266,Input!$J$2:$J$501,0)),"")</f>
        <v/>
      </c>
      <c r="E267" s="3" t="str">
        <f>IFERROR(INDEX(Input!$E$2:$E$501,MATCH(266,Input!$J$2:$J$501,0)),"")</f>
        <v/>
      </c>
      <c r="F267" t="str">
        <f>IFERROR(INDEX(Input!$F$2:$F$501,MATCH(266,Input!$J$2:$J$501,0)),"")</f>
        <v/>
      </c>
      <c r="G267" s="3" t="str">
        <f>IFERROR(INDEX(Input!$G$2:$G$501,MATCH(266,Input!$J$2:$J$501,0)),"")</f>
        <v/>
      </c>
      <c r="H267" t="str">
        <f>IFERROR(INDEX(Input!$H$2:$H$501,MATCH(266,Input!$J$2:$J$501,0)),"")</f>
        <v/>
      </c>
    </row>
    <row r="268" spans="1:8" x14ac:dyDescent="0.35">
      <c r="A268" t="str">
        <f>IFERROR(INDEX(Input!$A$2:$A$501,MATCH(267,Input!$J$2:$J$501,0)),"")</f>
        <v/>
      </c>
      <c r="B268" t="str">
        <f>IFERROR(INDEX(Input!$B$2:$B$501,MATCH(267,Input!$J$2:$J$501,0)),"")</f>
        <v/>
      </c>
      <c r="C268" t="str">
        <f>IFERROR(INDEX(Input!$C$2:$C$501,MATCH(267,Input!$J$2:$J$501,0)),"")</f>
        <v/>
      </c>
      <c r="D268" t="str">
        <f>IFERROR(INDEX(Input!$D$2:$D$501,MATCH(267,Input!$J$2:$J$501,0)),"")</f>
        <v/>
      </c>
      <c r="E268" s="3" t="str">
        <f>IFERROR(INDEX(Input!$E$2:$E$501,MATCH(267,Input!$J$2:$J$501,0)),"")</f>
        <v/>
      </c>
      <c r="F268" t="str">
        <f>IFERROR(INDEX(Input!$F$2:$F$501,MATCH(267,Input!$J$2:$J$501,0)),"")</f>
        <v/>
      </c>
      <c r="G268" s="3" t="str">
        <f>IFERROR(INDEX(Input!$G$2:$G$501,MATCH(267,Input!$J$2:$J$501,0)),"")</f>
        <v/>
      </c>
      <c r="H268" t="str">
        <f>IFERROR(INDEX(Input!$H$2:$H$501,MATCH(267,Input!$J$2:$J$501,0)),"")</f>
        <v/>
      </c>
    </row>
    <row r="269" spans="1:8" x14ac:dyDescent="0.35">
      <c r="A269" t="str">
        <f>IFERROR(INDEX(Input!$A$2:$A$501,MATCH(268,Input!$J$2:$J$501,0)),"")</f>
        <v/>
      </c>
      <c r="B269" t="str">
        <f>IFERROR(INDEX(Input!$B$2:$B$501,MATCH(268,Input!$J$2:$J$501,0)),"")</f>
        <v/>
      </c>
      <c r="C269" t="str">
        <f>IFERROR(INDEX(Input!$C$2:$C$501,MATCH(268,Input!$J$2:$J$501,0)),"")</f>
        <v/>
      </c>
      <c r="D269" t="str">
        <f>IFERROR(INDEX(Input!$D$2:$D$501,MATCH(268,Input!$J$2:$J$501,0)),"")</f>
        <v/>
      </c>
      <c r="E269" s="3" t="str">
        <f>IFERROR(INDEX(Input!$E$2:$E$501,MATCH(268,Input!$J$2:$J$501,0)),"")</f>
        <v/>
      </c>
      <c r="F269" t="str">
        <f>IFERROR(INDEX(Input!$F$2:$F$501,MATCH(268,Input!$J$2:$J$501,0)),"")</f>
        <v/>
      </c>
      <c r="G269" s="3" t="str">
        <f>IFERROR(INDEX(Input!$G$2:$G$501,MATCH(268,Input!$J$2:$J$501,0)),"")</f>
        <v/>
      </c>
      <c r="H269" t="str">
        <f>IFERROR(INDEX(Input!$H$2:$H$501,MATCH(268,Input!$J$2:$J$501,0)),"")</f>
        <v/>
      </c>
    </row>
    <row r="270" spans="1:8" x14ac:dyDescent="0.35">
      <c r="A270" t="str">
        <f>IFERROR(INDEX(Input!$A$2:$A$501,MATCH(269,Input!$J$2:$J$501,0)),"")</f>
        <v/>
      </c>
      <c r="B270" t="str">
        <f>IFERROR(INDEX(Input!$B$2:$B$501,MATCH(269,Input!$J$2:$J$501,0)),"")</f>
        <v/>
      </c>
      <c r="C270" t="str">
        <f>IFERROR(INDEX(Input!$C$2:$C$501,MATCH(269,Input!$J$2:$J$501,0)),"")</f>
        <v/>
      </c>
      <c r="D270" t="str">
        <f>IFERROR(INDEX(Input!$D$2:$D$501,MATCH(269,Input!$J$2:$J$501,0)),"")</f>
        <v/>
      </c>
      <c r="E270" s="3" t="str">
        <f>IFERROR(INDEX(Input!$E$2:$E$501,MATCH(269,Input!$J$2:$J$501,0)),"")</f>
        <v/>
      </c>
      <c r="F270" t="str">
        <f>IFERROR(INDEX(Input!$F$2:$F$501,MATCH(269,Input!$J$2:$J$501,0)),"")</f>
        <v/>
      </c>
      <c r="G270" s="3" t="str">
        <f>IFERROR(INDEX(Input!$G$2:$G$501,MATCH(269,Input!$J$2:$J$501,0)),"")</f>
        <v/>
      </c>
      <c r="H270" t="str">
        <f>IFERROR(INDEX(Input!$H$2:$H$501,MATCH(269,Input!$J$2:$J$501,0)),"")</f>
        <v/>
      </c>
    </row>
    <row r="271" spans="1:8" x14ac:dyDescent="0.35">
      <c r="A271" t="str">
        <f>IFERROR(INDEX(Input!$A$2:$A$501,MATCH(270,Input!$J$2:$J$501,0)),"")</f>
        <v/>
      </c>
      <c r="B271" t="str">
        <f>IFERROR(INDEX(Input!$B$2:$B$501,MATCH(270,Input!$J$2:$J$501,0)),"")</f>
        <v/>
      </c>
      <c r="C271" t="str">
        <f>IFERROR(INDEX(Input!$C$2:$C$501,MATCH(270,Input!$J$2:$J$501,0)),"")</f>
        <v/>
      </c>
      <c r="D271" t="str">
        <f>IFERROR(INDEX(Input!$D$2:$D$501,MATCH(270,Input!$J$2:$J$501,0)),"")</f>
        <v/>
      </c>
      <c r="E271" s="3" t="str">
        <f>IFERROR(INDEX(Input!$E$2:$E$501,MATCH(270,Input!$J$2:$J$501,0)),"")</f>
        <v/>
      </c>
      <c r="F271" t="str">
        <f>IFERROR(INDEX(Input!$F$2:$F$501,MATCH(270,Input!$J$2:$J$501,0)),"")</f>
        <v/>
      </c>
      <c r="G271" s="3" t="str">
        <f>IFERROR(INDEX(Input!$G$2:$G$501,MATCH(270,Input!$J$2:$J$501,0)),"")</f>
        <v/>
      </c>
      <c r="H271" t="str">
        <f>IFERROR(INDEX(Input!$H$2:$H$501,MATCH(270,Input!$J$2:$J$501,0)),"")</f>
        <v/>
      </c>
    </row>
    <row r="272" spans="1:8" x14ac:dyDescent="0.35">
      <c r="A272" t="str">
        <f>IFERROR(INDEX(Input!$A$2:$A$501,MATCH(271,Input!$J$2:$J$501,0)),"")</f>
        <v/>
      </c>
      <c r="B272" t="str">
        <f>IFERROR(INDEX(Input!$B$2:$B$501,MATCH(271,Input!$J$2:$J$501,0)),"")</f>
        <v/>
      </c>
      <c r="C272" t="str">
        <f>IFERROR(INDEX(Input!$C$2:$C$501,MATCH(271,Input!$J$2:$J$501,0)),"")</f>
        <v/>
      </c>
      <c r="D272" t="str">
        <f>IFERROR(INDEX(Input!$D$2:$D$501,MATCH(271,Input!$J$2:$J$501,0)),"")</f>
        <v/>
      </c>
      <c r="E272" s="3" t="str">
        <f>IFERROR(INDEX(Input!$E$2:$E$501,MATCH(271,Input!$J$2:$J$501,0)),"")</f>
        <v/>
      </c>
      <c r="F272" t="str">
        <f>IFERROR(INDEX(Input!$F$2:$F$501,MATCH(271,Input!$J$2:$J$501,0)),"")</f>
        <v/>
      </c>
      <c r="G272" s="3" t="str">
        <f>IFERROR(INDEX(Input!$G$2:$G$501,MATCH(271,Input!$J$2:$J$501,0)),"")</f>
        <v/>
      </c>
      <c r="H272" t="str">
        <f>IFERROR(INDEX(Input!$H$2:$H$501,MATCH(271,Input!$J$2:$J$501,0)),"")</f>
        <v/>
      </c>
    </row>
    <row r="273" spans="1:8" x14ac:dyDescent="0.35">
      <c r="A273" t="str">
        <f>IFERROR(INDEX(Input!$A$2:$A$501,MATCH(272,Input!$J$2:$J$501,0)),"")</f>
        <v/>
      </c>
      <c r="B273" t="str">
        <f>IFERROR(INDEX(Input!$B$2:$B$501,MATCH(272,Input!$J$2:$J$501,0)),"")</f>
        <v/>
      </c>
      <c r="C273" t="str">
        <f>IFERROR(INDEX(Input!$C$2:$C$501,MATCH(272,Input!$J$2:$J$501,0)),"")</f>
        <v/>
      </c>
      <c r="D273" t="str">
        <f>IFERROR(INDEX(Input!$D$2:$D$501,MATCH(272,Input!$J$2:$J$501,0)),"")</f>
        <v/>
      </c>
      <c r="E273" s="3" t="str">
        <f>IFERROR(INDEX(Input!$E$2:$E$501,MATCH(272,Input!$J$2:$J$501,0)),"")</f>
        <v/>
      </c>
      <c r="F273" t="str">
        <f>IFERROR(INDEX(Input!$F$2:$F$501,MATCH(272,Input!$J$2:$J$501,0)),"")</f>
        <v/>
      </c>
      <c r="G273" s="3" t="str">
        <f>IFERROR(INDEX(Input!$G$2:$G$501,MATCH(272,Input!$J$2:$J$501,0)),"")</f>
        <v/>
      </c>
      <c r="H273" t="str">
        <f>IFERROR(INDEX(Input!$H$2:$H$501,MATCH(272,Input!$J$2:$J$501,0)),"")</f>
        <v/>
      </c>
    </row>
    <row r="274" spans="1:8" x14ac:dyDescent="0.35">
      <c r="A274" t="str">
        <f>IFERROR(INDEX(Input!$A$2:$A$501,MATCH(273,Input!$J$2:$J$501,0)),"")</f>
        <v/>
      </c>
      <c r="B274" t="str">
        <f>IFERROR(INDEX(Input!$B$2:$B$501,MATCH(273,Input!$J$2:$J$501,0)),"")</f>
        <v/>
      </c>
      <c r="C274" t="str">
        <f>IFERROR(INDEX(Input!$C$2:$C$501,MATCH(273,Input!$J$2:$J$501,0)),"")</f>
        <v/>
      </c>
      <c r="D274" t="str">
        <f>IFERROR(INDEX(Input!$D$2:$D$501,MATCH(273,Input!$J$2:$J$501,0)),"")</f>
        <v/>
      </c>
      <c r="E274" s="3" t="str">
        <f>IFERROR(INDEX(Input!$E$2:$E$501,MATCH(273,Input!$J$2:$J$501,0)),"")</f>
        <v/>
      </c>
      <c r="F274" t="str">
        <f>IFERROR(INDEX(Input!$F$2:$F$501,MATCH(273,Input!$J$2:$J$501,0)),"")</f>
        <v/>
      </c>
      <c r="G274" s="3" t="str">
        <f>IFERROR(INDEX(Input!$G$2:$G$501,MATCH(273,Input!$J$2:$J$501,0)),"")</f>
        <v/>
      </c>
      <c r="H274" t="str">
        <f>IFERROR(INDEX(Input!$H$2:$H$501,MATCH(273,Input!$J$2:$J$501,0)),"")</f>
        <v/>
      </c>
    </row>
    <row r="275" spans="1:8" x14ac:dyDescent="0.35">
      <c r="A275" t="str">
        <f>IFERROR(INDEX(Input!$A$2:$A$501,MATCH(274,Input!$J$2:$J$501,0)),"")</f>
        <v/>
      </c>
      <c r="B275" t="str">
        <f>IFERROR(INDEX(Input!$B$2:$B$501,MATCH(274,Input!$J$2:$J$501,0)),"")</f>
        <v/>
      </c>
      <c r="C275" t="str">
        <f>IFERROR(INDEX(Input!$C$2:$C$501,MATCH(274,Input!$J$2:$J$501,0)),"")</f>
        <v/>
      </c>
      <c r="D275" t="str">
        <f>IFERROR(INDEX(Input!$D$2:$D$501,MATCH(274,Input!$J$2:$J$501,0)),"")</f>
        <v/>
      </c>
      <c r="E275" s="3" t="str">
        <f>IFERROR(INDEX(Input!$E$2:$E$501,MATCH(274,Input!$J$2:$J$501,0)),"")</f>
        <v/>
      </c>
      <c r="F275" t="str">
        <f>IFERROR(INDEX(Input!$F$2:$F$501,MATCH(274,Input!$J$2:$J$501,0)),"")</f>
        <v/>
      </c>
      <c r="G275" s="3" t="str">
        <f>IFERROR(INDEX(Input!$G$2:$G$501,MATCH(274,Input!$J$2:$J$501,0)),"")</f>
        <v/>
      </c>
      <c r="H275" t="str">
        <f>IFERROR(INDEX(Input!$H$2:$H$501,MATCH(274,Input!$J$2:$J$501,0)),"")</f>
        <v/>
      </c>
    </row>
    <row r="276" spans="1:8" x14ac:dyDescent="0.35">
      <c r="A276" t="str">
        <f>IFERROR(INDEX(Input!$A$2:$A$501,MATCH(275,Input!$J$2:$J$501,0)),"")</f>
        <v/>
      </c>
      <c r="B276" t="str">
        <f>IFERROR(INDEX(Input!$B$2:$B$501,MATCH(275,Input!$J$2:$J$501,0)),"")</f>
        <v/>
      </c>
      <c r="C276" t="str">
        <f>IFERROR(INDEX(Input!$C$2:$C$501,MATCH(275,Input!$J$2:$J$501,0)),"")</f>
        <v/>
      </c>
      <c r="D276" t="str">
        <f>IFERROR(INDEX(Input!$D$2:$D$501,MATCH(275,Input!$J$2:$J$501,0)),"")</f>
        <v/>
      </c>
      <c r="E276" s="3" t="str">
        <f>IFERROR(INDEX(Input!$E$2:$E$501,MATCH(275,Input!$J$2:$J$501,0)),"")</f>
        <v/>
      </c>
      <c r="F276" t="str">
        <f>IFERROR(INDEX(Input!$F$2:$F$501,MATCH(275,Input!$J$2:$J$501,0)),"")</f>
        <v/>
      </c>
      <c r="G276" s="3" t="str">
        <f>IFERROR(INDEX(Input!$G$2:$G$501,MATCH(275,Input!$J$2:$J$501,0)),"")</f>
        <v/>
      </c>
      <c r="H276" t="str">
        <f>IFERROR(INDEX(Input!$H$2:$H$501,MATCH(275,Input!$J$2:$J$501,0)),"")</f>
        <v/>
      </c>
    </row>
    <row r="277" spans="1:8" x14ac:dyDescent="0.35">
      <c r="A277" t="str">
        <f>IFERROR(INDEX(Input!$A$2:$A$501,MATCH(276,Input!$J$2:$J$501,0)),"")</f>
        <v/>
      </c>
      <c r="B277" t="str">
        <f>IFERROR(INDEX(Input!$B$2:$B$501,MATCH(276,Input!$J$2:$J$501,0)),"")</f>
        <v/>
      </c>
      <c r="C277" t="str">
        <f>IFERROR(INDEX(Input!$C$2:$C$501,MATCH(276,Input!$J$2:$J$501,0)),"")</f>
        <v/>
      </c>
      <c r="D277" t="str">
        <f>IFERROR(INDEX(Input!$D$2:$D$501,MATCH(276,Input!$J$2:$J$501,0)),"")</f>
        <v/>
      </c>
      <c r="E277" s="3" t="str">
        <f>IFERROR(INDEX(Input!$E$2:$E$501,MATCH(276,Input!$J$2:$J$501,0)),"")</f>
        <v/>
      </c>
      <c r="F277" t="str">
        <f>IFERROR(INDEX(Input!$F$2:$F$501,MATCH(276,Input!$J$2:$J$501,0)),"")</f>
        <v/>
      </c>
      <c r="G277" s="3" t="str">
        <f>IFERROR(INDEX(Input!$G$2:$G$501,MATCH(276,Input!$J$2:$J$501,0)),"")</f>
        <v/>
      </c>
      <c r="H277" t="str">
        <f>IFERROR(INDEX(Input!$H$2:$H$501,MATCH(276,Input!$J$2:$J$501,0)),"")</f>
        <v/>
      </c>
    </row>
    <row r="278" spans="1:8" x14ac:dyDescent="0.35">
      <c r="A278" t="str">
        <f>IFERROR(INDEX(Input!$A$2:$A$501,MATCH(277,Input!$J$2:$J$501,0)),"")</f>
        <v/>
      </c>
      <c r="B278" t="str">
        <f>IFERROR(INDEX(Input!$B$2:$B$501,MATCH(277,Input!$J$2:$J$501,0)),"")</f>
        <v/>
      </c>
      <c r="C278" t="str">
        <f>IFERROR(INDEX(Input!$C$2:$C$501,MATCH(277,Input!$J$2:$J$501,0)),"")</f>
        <v/>
      </c>
      <c r="D278" t="str">
        <f>IFERROR(INDEX(Input!$D$2:$D$501,MATCH(277,Input!$J$2:$J$501,0)),"")</f>
        <v/>
      </c>
      <c r="E278" s="3" t="str">
        <f>IFERROR(INDEX(Input!$E$2:$E$501,MATCH(277,Input!$J$2:$J$501,0)),"")</f>
        <v/>
      </c>
      <c r="F278" t="str">
        <f>IFERROR(INDEX(Input!$F$2:$F$501,MATCH(277,Input!$J$2:$J$501,0)),"")</f>
        <v/>
      </c>
      <c r="G278" s="3" t="str">
        <f>IFERROR(INDEX(Input!$G$2:$G$501,MATCH(277,Input!$J$2:$J$501,0)),"")</f>
        <v/>
      </c>
      <c r="H278" t="str">
        <f>IFERROR(INDEX(Input!$H$2:$H$501,MATCH(277,Input!$J$2:$J$501,0)),"")</f>
        <v/>
      </c>
    </row>
    <row r="279" spans="1:8" x14ac:dyDescent="0.35">
      <c r="A279" t="str">
        <f>IFERROR(INDEX(Input!$A$2:$A$501,MATCH(278,Input!$J$2:$J$501,0)),"")</f>
        <v/>
      </c>
      <c r="B279" t="str">
        <f>IFERROR(INDEX(Input!$B$2:$B$501,MATCH(278,Input!$J$2:$J$501,0)),"")</f>
        <v/>
      </c>
      <c r="C279" t="str">
        <f>IFERROR(INDEX(Input!$C$2:$C$501,MATCH(278,Input!$J$2:$J$501,0)),"")</f>
        <v/>
      </c>
      <c r="D279" t="str">
        <f>IFERROR(INDEX(Input!$D$2:$D$501,MATCH(278,Input!$J$2:$J$501,0)),"")</f>
        <v/>
      </c>
      <c r="E279" s="3" t="str">
        <f>IFERROR(INDEX(Input!$E$2:$E$501,MATCH(278,Input!$J$2:$J$501,0)),"")</f>
        <v/>
      </c>
      <c r="F279" t="str">
        <f>IFERROR(INDEX(Input!$F$2:$F$501,MATCH(278,Input!$J$2:$J$501,0)),"")</f>
        <v/>
      </c>
      <c r="G279" s="3" t="str">
        <f>IFERROR(INDEX(Input!$G$2:$G$501,MATCH(278,Input!$J$2:$J$501,0)),"")</f>
        <v/>
      </c>
      <c r="H279" t="str">
        <f>IFERROR(INDEX(Input!$H$2:$H$501,MATCH(278,Input!$J$2:$J$501,0)),"")</f>
        <v/>
      </c>
    </row>
    <row r="280" spans="1:8" x14ac:dyDescent="0.35">
      <c r="A280" t="str">
        <f>IFERROR(INDEX(Input!$A$2:$A$501,MATCH(279,Input!$J$2:$J$501,0)),"")</f>
        <v/>
      </c>
      <c r="B280" t="str">
        <f>IFERROR(INDEX(Input!$B$2:$B$501,MATCH(279,Input!$J$2:$J$501,0)),"")</f>
        <v/>
      </c>
      <c r="C280" t="str">
        <f>IFERROR(INDEX(Input!$C$2:$C$501,MATCH(279,Input!$J$2:$J$501,0)),"")</f>
        <v/>
      </c>
      <c r="D280" t="str">
        <f>IFERROR(INDEX(Input!$D$2:$D$501,MATCH(279,Input!$J$2:$J$501,0)),"")</f>
        <v/>
      </c>
      <c r="E280" s="3" t="str">
        <f>IFERROR(INDEX(Input!$E$2:$E$501,MATCH(279,Input!$J$2:$J$501,0)),"")</f>
        <v/>
      </c>
      <c r="F280" t="str">
        <f>IFERROR(INDEX(Input!$F$2:$F$501,MATCH(279,Input!$J$2:$J$501,0)),"")</f>
        <v/>
      </c>
      <c r="G280" s="3" t="str">
        <f>IFERROR(INDEX(Input!$G$2:$G$501,MATCH(279,Input!$J$2:$J$501,0)),"")</f>
        <v/>
      </c>
      <c r="H280" t="str">
        <f>IFERROR(INDEX(Input!$H$2:$H$501,MATCH(279,Input!$J$2:$J$501,0)),"")</f>
        <v/>
      </c>
    </row>
    <row r="281" spans="1:8" x14ac:dyDescent="0.35">
      <c r="A281" t="str">
        <f>IFERROR(INDEX(Input!$A$2:$A$501,MATCH(280,Input!$J$2:$J$501,0)),"")</f>
        <v/>
      </c>
      <c r="B281" t="str">
        <f>IFERROR(INDEX(Input!$B$2:$B$501,MATCH(280,Input!$J$2:$J$501,0)),"")</f>
        <v/>
      </c>
      <c r="C281" t="str">
        <f>IFERROR(INDEX(Input!$C$2:$C$501,MATCH(280,Input!$J$2:$J$501,0)),"")</f>
        <v/>
      </c>
      <c r="D281" t="str">
        <f>IFERROR(INDEX(Input!$D$2:$D$501,MATCH(280,Input!$J$2:$J$501,0)),"")</f>
        <v/>
      </c>
      <c r="E281" s="3" t="str">
        <f>IFERROR(INDEX(Input!$E$2:$E$501,MATCH(280,Input!$J$2:$J$501,0)),"")</f>
        <v/>
      </c>
      <c r="F281" t="str">
        <f>IFERROR(INDEX(Input!$F$2:$F$501,MATCH(280,Input!$J$2:$J$501,0)),"")</f>
        <v/>
      </c>
      <c r="G281" s="3" t="str">
        <f>IFERROR(INDEX(Input!$G$2:$G$501,MATCH(280,Input!$J$2:$J$501,0)),"")</f>
        <v/>
      </c>
      <c r="H281" t="str">
        <f>IFERROR(INDEX(Input!$H$2:$H$501,MATCH(280,Input!$J$2:$J$501,0)),"")</f>
        <v/>
      </c>
    </row>
    <row r="282" spans="1:8" x14ac:dyDescent="0.35">
      <c r="A282" t="str">
        <f>IFERROR(INDEX(Input!$A$2:$A$501,MATCH(281,Input!$J$2:$J$501,0)),"")</f>
        <v/>
      </c>
      <c r="B282" t="str">
        <f>IFERROR(INDEX(Input!$B$2:$B$501,MATCH(281,Input!$J$2:$J$501,0)),"")</f>
        <v/>
      </c>
      <c r="C282" t="str">
        <f>IFERROR(INDEX(Input!$C$2:$C$501,MATCH(281,Input!$J$2:$J$501,0)),"")</f>
        <v/>
      </c>
      <c r="D282" t="str">
        <f>IFERROR(INDEX(Input!$D$2:$D$501,MATCH(281,Input!$J$2:$J$501,0)),"")</f>
        <v/>
      </c>
      <c r="E282" s="3" t="str">
        <f>IFERROR(INDEX(Input!$E$2:$E$501,MATCH(281,Input!$J$2:$J$501,0)),"")</f>
        <v/>
      </c>
      <c r="F282" t="str">
        <f>IFERROR(INDEX(Input!$F$2:$F$501,MATCH(281,Input!$J$2:$J$501,0)),"")</f>
        <v/>
      </c>
      <c r="G282" s="3" t="str">
        <f>IFERROR(INDEX(Input!$G$2:$G$501,MATCH(281,Input!$J$2:$J$501,0)),"")</f>
        <v/>
      </c>
      <c r="H282" t="str">
        <f>IFERROR(INDEX(Input!$H$2:$H$501,MATCH(281,Input!$J$2:$J$501,0)),"")</f>
        <v/>
      </c>
    </row>
    <row r="283" spans="1:8" x14ac:dyDescent="0.35">
      <c r="A283" t="str">
        <f>IFERROR(INDEX(Input!$A$2:$A$501,MATCH(282,Input!$J$2:$J$501,0)),"")</f>
        <v/>
      </c>
      <c r="B283" t="str">
        <f>IFERROR(INDEX(Input!$B$2:$B$501,MATCH(282,Input!$J$2:$J$501,0)),"")</f>
        <v/>
      </c>
      <c r="C283" t="str">
        <f>IFERROR(INDEX(Input!$C$2:$C$501,MATCH(282,Input!$J$2:$J$501,0)),"")</f>
        <v/>
      </c>
      <c r="D283" t="str">
        <f>IFERROR(INDEX(Input!$D$2:$D$501,MATCH(282,Input!$J$2:$J$501,0)),"")</f>
        <v/>
      </c>
      <c r="E283" s="3" t="str">
        <f>IFERROR(INDEX(Input!$E$2:$E$501,MATCH(282,Input!$J$2:$J$501,0)),"")</f>
        <v/>
      </c>
      <c r="F283" t="str">
        <f>IFERROR(INDEX(Input!$F$2:$F$501,MATCH(282,Input!$J$2:$J$501,0)),"")</f>
        <v/>
      </c>
      <c r="G283" s="3" t="str">
        <f>IFERROR(INDEX(Input!$G$2:$G$501,MATCH(282,Input!$J$2:$J$501,0)),"")</f>
        <v/>
      </c>
      <c r="H283" t="str">
        <f>IFERROR(INDEX(Input!$H$2:$H$501,MATCH(282,Input!$J$2:$J$501,0)),"")</f>
        <v/>
      </c>
    </row>
    <row r="284" spans="1:8" x14ac:dyDescent="0.35">
      <c r="A284" t="str">
        <f>IFERROR(INDEX(Input!$A$2:$A$501,MATCH(283,Input!$J$2:$J$501,0)),"")</f>
        <v/>
      </c>
      <c r="B284" t="str">
        <f>IFERROR(INDEX(Input!$B$2:$B$501,MATCH(283,Input!$J$2:$J$501,0)),"")</f>
        <v/>
      </c>
      <c r="C284" t="str">
        <f>IFERROR(INDEX(Input!$C$2:$C$501,MATCH(283,Input!$J$2:$J$501,0)),"")</f>
        <v/>
      </c>
      <c r="D284" t="str">
        <f>IFERROR(INDEX(Input!$D$2:$D$501,MATCH(283,Input!$J$2:$J$501,0)),"")</f>
        <v/>
      </c>
      <c r="E284" s="3" t="str">
        <f>IFERROR(INDEX(Input!$E$2:$E$501,MATCH(283,Input!$J$2:$J$501,0)),"")</f>
        <v/>
      </c>
      <c r="F284" t="str">
        <f>IFERROR(INDEX(Input!$F$2:$F$501,MATCH(283,Input!$J$2:$J$501,0)),"")</f>
        <v/>
      </c>
      <c r="G284" s="3" t="str">
        <f>IFERROR(INDEX(Input!$G$2:$G$501,MATCH(283,Input!$J$2:$J$501,0)),"")</f>
        <v/>
      </c>
      <c r="H284" t="str">
        <f>IFERROR(INDEX(Input!$H$2:$H$501,MATCH(283,Input!$J$2:$J$501,0)),"")</f>
        <v/>
      </c>
    </row>
    <row r="285" spans="1:8" x14ac:dyDescent="0.35">
      <c r="A285" t="str">
        <f>IFERROR(INDEX(Input!$A$2:$A$501,MATCH(284,Input!$J$2:$J$501,0)),"")</f>
        <v/>
      </c>
      <c r="B285" t="str">
        <f>IFERROR(INDEX(Input!$B$2:$B$501,MATCH(284,Input!$J$2:$J$501,0)),"")</f>
        <v/>
      </c>
      <c r="C285" t="str">
        <f>IFERROR(INDEX(Input!$C$2:$C$501,MATCH(284,Input!$J$2:$J$501,0)),"")</f>
        <v/>
      </c>
      <c r="D285" t="str">
        <f>IFERROR(INDEX(Input!$D$2:$D$501,MATCH(284,Input!$J$2:$J$501,0)),"")</f>
        <v/>
      </c>
      <c r="E285" s="3" t="str">
        <f>IFERROR(INDEX(Input!$E$2:$E$501,MATCH(284,Input!$J$2:$J$501,0)),"")</f>
        <v/>
      </c>
      <c r="F285" t="str">
        <f>IFERROR(INDEX(Input!$F$2:$F$501,MATCH(284,Input!$J$2:$J$501,0)),"")</f>
        <v/>
      </c>
      <c r="G285" s="3" t="str">
        <f>IFERROR(INDEX(Input!$G$2:$G$501,MATCH(284,Input!$J$2:$J$501,0)),"")</f>
        <v/>
      </c>
      <c r="H285" t="str">
        <f>IFERROR(INDEX(Input!$H$2:$H$501,MATCH(284,Input!$J$2:$J$501,0)),"")</f>
        <v/>
      </c>
    </row>
    <row r="286" spans="1:8" x14ac:dyDescent="0.35">
      <c r="A286" t="str">
        <f>IFERROR(INDEX(Input!$A$2:$A$501,MATCH(285,Input!$J$2:$J$501,0)),"")</f>
        <v/>
      </c>
      <c r="B286" t="str">
        <f>IFERROR(INDEX(Input!$B$2:$B$501,MATCH(285,Input!$J$2:$J$501,0)),"")</f>
        <v/>
      </c>
      <c r="C286" t="str">
        <f>IFERROR(INDEX(Input!$C$2:$C$501,MATCH(285,Input!$J$2:$J$501,0)),"")</f>
        <v/>
      </c>
      <c r="D286" t="str">
        <f>IFERROR(INDEX(Input!$D$2:$D$501,MATCH(285,Input!$J$2:$J$501,0)),"")</f>
        <v/>
      </c>
      <c r="E286" s="3" t="str">
        <f>IFERROR(INDEX(Input!$E$2:$E$501,MATCH(285,Input!$J$2:$J$501,0)),"")</f>
        <v/>
      </c>
      <c r="F286" t="str">
        <f>IFERROR(INDEX(Input!$F$2:$F$501,MATCH(285,Input!$J$2:$J$501,0)),"")</f>
        <v/>
      </c>
      <c r="G286" s="3" t="str">
        <f>IFERROR(INDEX(Input!$G$2:$G$501,MATCH(285,Input!$J$2:$J$501,0)),"")</f>
        <v/>
      </c>
      <c r="H286" t="str">
        <f>IFERROR(INDEX(Input!$H$2:$H$501,MATCH(285,Input!$J$2:$J$501,0)),"")</f>
        <v/>
      </c>
    </row>
    <row r="287" spans="1:8" x14ac:dyDescent="0.35">
      <c r="A287" t="str">
        <f>IFERROR(INDEX(Input!$A$2:$A$501,MATCH(286,Input!$J$2:$J$501,0)),"")</f>
        <v/>
      </c>
      <c r="B287" t="str">
        <f>IFERROR(INDEX(Input!$B$2:$B$501,MATCH(286,Input!$J$2:$J$501,0)),"")</f>
        <v/>
      </c>
      <c r="C287" t="str">
        <f>IFERROR(INDEX(Input!$C$2:$C$501,MATCH(286,Input!$J$2:$J$501,0)),"")</f>
        <v/>
      </c>
      <c r="D287" t="str">
        <f>IFERROR(INDEX(Input!$D$2:$D$501,MATCH(286,Input!$J$2:$J$501,0)),"")</f>
        <v/>
      </c>
      <c r="E287" s="3" t="str">
        <f>IFERROR(INDEX(Input!$E$2:$E$501,MATCH(286,Input!$J$2:$J$501,0)),"")</f>
        <v/>
      </c>
      <c r="F287" t="str">
        <f>IFERROR(INDEX(Input!$F$2:$F$501,MATCH(286,Input!$J$2:$J$501,0)),"")</f>
        <v/>
      </c>
      <c r="G287" s="3" t="str">
        <f>IFERROR(INDEX(Input!$G$2:$G$501,MATCH(286,Input!$J$2:$J$501,0)),"")</f>
        <v/>
      </c>
      <c r="H287" t="str">
        <f>IFERROR(INDEX(Input!$H$2:$H$501,MATCH(286,Input!$J$2:$J$501,0)),"")</f>
        <v/>
      </c>
    </row>
    <row r="288" spans="1:8" x14ac:dyDescent="0.35">
      <c r="A288" t="str">
        <f>IFERROR(INDEX(Input!$A$2:$A$501,MATCH(287,Input!$J$2:$J$501,0)),"")</f>
        <v/>
      </c>
      <c r="B288" t="str">
        <f>IFERROR(INDEX(Input!$B$2:$B$501,MATCH(287,Input!$J$2:$J$501,0)),"")</f>
        <v/>
      </c>
      <c r="C288" t="str">
        <f>IFERROR(INDEX(Input!$C$2:$C$501,MATCH(287,Input!$J$2:$J$501,0)),"")</f>
        <v/>
      </c>
      <c r="D288" t="str">
        <f>IFERROR(INDEX(Input!$D$2:$D$501,MATCH(287,Input!$J$2:$J$501,0)),"")</f>
        <v/>
      </c>
      <c r="E288" s="3" t="str">
        <f>IFERROR(INDEX(Input!$E$2:$E$501,MATCH(287,Input!$J$2:$J$501,0)),"")</f>
        <v/>
      </c>
      <c r="F288" t="str">
        <f>IFERROR(INDEX(Input!$F$2:$F$501,MATCH(287,Input!$J$2:$J$501,0)),"")</f>
        <v/>
      </c>
      <c r="G288" s="3" t="str">
        <f>IFERROR(INDEX(Input!$G$2:$G$501,MATCH(287,Input!$J$2:$J$501,0)),"")</f>
        <v/>
      </c>
      <c r="H288" t="str">
        <f>IFERROR(INDEX(Input!$H$2:$H$501,MATCH(287,Input!$J$2:$J$501,0)),"")</f>
        <v/>
      </c>
    </row>
    <row r="289" spans="1:8" x14ac:dyDescent="0.35">
      <c r="A289" t="str">
        <f>IFERROR(INDEX(Input!$A$2:$A$501,MATCH(288,Input!$J$2:$J$501,0)),"")</f>
        <v/>
      </c>
      <c r="B289" t="str">
        <f>IFERROR(INDEX(Input!$B$2:$B$501,MATCH(288,Input!$J$2:$J$501,0)),"")</f>
        <v/>
      </c>
      <c r="C289" t="str">
        <f>IFERROR(INDEX(Input!$C$2:$C$501,MATCH(288,Input!$J$2:$J$501,0)),"")</f>
        <v/>
      </c>
      <c r="D289" t="str">
        <f>IFERROR(INDEX(Input!$D$2:$D$501,MATCH(288,Input!$J$2:$J$501,0)),"")</f>
        <v/>
      </c>
      <c r="E289" s="3" t="str">
        <f>IFERROR(INDEX(Input!$E$2:$E$501,MATCH(288,Input!$J$2:$J$501,0)),"")</f>
        <v/>
      </c>
      <c r="F289" t="str">
        <f>IFERROR(INDEX(Input!$F$2:$F$501,MATCH(288,Input!$J$2:$J$501,0)),"")</f>
        <v/>
      </c>
      <c r="G289" s="3" t="str">
        <f>IFERROR(INDEX(Input!$G$2:$G$501,MATCH(288,Input!$J$2:$J$501,0)),"")</f>
        <v/>
      </c>
      <c r="H289" t="str">
        <f>IFERROR(INDEX(Input!$H$2:$H$501,MATCH(288,Input!$J$2:$J$501,0)),"")</f>
        <v/>
      </c>
    </row>
    <row r="290" spans="1:8" x14ac:dyDescent="0.35">
      <c r="A290" t="str">
        <f>IFERROR(INDEX(Input!$A$2:$A$501,MATCH(289,Input!$J$2:$J$501,0)),"")</f>
        <v/>
      </c>
      <c r="B290" t="str">
        <f>IFERROR(INDEX(Input!$B$2:$B$501,MATCH(289,Input!$J$2:$J$501,0)),"")</f>
        <v/>
      </c>
      <c r="C290" t="str">
        <f>IFERROR(INDEX(Input!$C$2:$C$501,MATCH(289,Input!$J$2:$J$501,0)),"")</f>
        <v/>
      </c>
      <c r="D290" t="str">
        <f>IFERROR(INDEX(Input!$D$2:$D$501,MATCH(289,Input!$J$2:$J$501,0)),"")</f>
        <v/>
      </c>
      <c r="E290" s="3" t="str">
        <f>IFERROR(INDEX(Input!$E$2:$E$501,MATCH(289,Input!$J$2:$J$501,0)),"")</f>
        <v/>
      </c>
      <c r="F290" t="str">
        <f>IFERROR(INDEX(Input!$F$2:$F$501,MATCH(289,Input!$J$2:$J$501,0)),"")</f>
        <v/>
      </c>
      <c r="G290" s="3" t="str">
        <f>IFERROR(INDEX(Input!$G$2:$G$501,MATCH(289,Input!$J$2:$J$501,0)),"")</f>
        <v/>
      </c>
      <c r="H290" t="str">
        <f>IFERROR(INDEX(Input!$H$2:$H$501,MATCH(289,Input!$J$2:$J$501,0)),"")</f>
        <v/>
      </c>
    </row>
    <row r="291" spans="1:8" x14ac:dyDescent="0.35">
      <c r="A291" t="str">
        <f>IFERROR(INDEX(Input!$A$2:$A$501,MATCH(290,Input!$J$2:$J$501,0)),"")</f>
        <v/>
      </c>
      <c r="B291" t="str">
        <f>IFERROR(INDEX(Input!$B$2:$B$501,MATCH(290,Input!$J$2:$J$501,0)),"")</f>
        <v/>
      </c>
      <c r="C291" t="str">
        <f>IFERROR(INDEX(Input!$C$2:$C$501,MATCH(290,Input!$J$2:$J$501,0)),"")</f>
        <v/>
      </c>
      <c r="D291" t="str">
        <f>IFERROR(INDEX(Input!$D$2:$D$501,MATCH(290,Input!$J$2:$J$501,0)),"")</f>
        <v/>
      </c>
      <c r="E291" s="3" t="str">
        <f>IFERROR(INDEX(Input!$E$2:$E$501,MATCH(290,Input!$J$2:$J$501,0)),"")</f>
        <v/>
      </c>
      <c r="F291" t="str">
        <f>IFERROR(INDEX(Input!$F$2:$F$501,MATCH(290,Input!$J$2:$J$501,0)),"")</f>
        <v/>
      </c>
      <c r="G291" s="3" t="str">
        <f>IFERROR(INDEX(Input!$G$2:$G$501,MATCH(290,Input!$J$2:$J$501,0)),"")</f>
        <v/>
      </c>
      <c r="H291" t="str">
        <f>IFERROR(INDEX(Input!$H$2:$H$501,MATCH(290,Input!$J$2:$J$501,0)),"")</f>
        <v/>
      </c>
    </row>
    <row r="292" spans="1:8" x14ac:dyDescent="0.35">
      <c r="A292" t="str">
        <f>IFERROR(INDEX(Input!$A$2:$A$501,MATCH(291,Input!$J$2:$J$501,0)),"")</f>
        <v/>
      </c>
      <c r="B292" t="str">
        <f>IFERROR(INDEX(Input!$B$2:$B$501,MATCH(291,Input!$J$2:$J$501,0)),"")</f>
        <v/>
      </c>
      <c r="C292" t="str">
        <f>IFERROR(INDEX(Input!$C$2:$C$501,MATCH(291,Input!$J$2:$J$501,0)),"")</f>
        <v/>
      </c>
      <c r="D292" t="str">
        <f>IFERROR(INDEX(Input!$D$2:$D$501,MATCH(291,Input!$J$2:$J$501,0)),"")</f>
        <v/>
      </c>
      <c r="E292" s="3" t="str">
        <f>IFERROR(INDEX(Input!$E$2:$E$501,MATCH(291,Input!$J$2:$J$501,0)),"")</f>
        <v/>
      </c>
      <c r="F292" t="str">
        <f>IFERROR(INDEX(Input!$F$2:$F$501,MATCH(291,Input!$J$2:$J$501,0)),"")</f>
        <v/>
      </c>
      <c r="G292" s="3" t="str">
        <f>IFERROR(INDEX(Input!$G$2:$G$501,MATCH(291,Input!$J$2:$J$501,0)),"")</f>
        <v/>
      </c>
      <c r="H292" t="str">
        <f>IFERROR(INDEX(Input!$H$2:$H$501,MATCH(291,Input!$J$2:$J$501,0)),"")</f>
        <v/>
      </c>
    </row>
    <row r="293" spans="1:8" x14ac:dyDescent="0.35">
      <c r="A293" t="str">
        <f>IFERROR(INDEX(Input!$A$2:$A$501,MATCH(292,Input!$J$2:$J$501,0)),"")</f>
        <v/>
      </c>
      <c r="B293" t="str">
        <f>IFERROR(INDEX(Input!$B$2:$B$501,MATCH(292,Input!$J$2:$J$501,0)),"")</f>
        <v/>
      </c>
      <c r="C293" t="str">
        <f>IFERROR(INDEX(Input!$C$2:$C$501,MATCH(292,Input!$J$2:$J$501,0)),"")</f>
        <v/>
      </c>
      <c r="D293" t="str">
        <f>IFERROR(INDEX(Input!$D$2:$D$501,MATCH(292,Input!$J$2:$J$501,0)),"")</f>
        <v/>
      </c>
      <c r="E293" s="3" t="str">
        <f>IFERROR(INDEX(Input!$E$2:$E$501,MATCH(292,Input!$J$2:$J$501,0)),"")</f>
        <v/>
      </c>
      <c r="F293" t="str">
        <f>IFERROR(INDEX(Input!$F$2:$F$501,MATCH(292,Input!$J$2:$J$501,0)),"")</f>
        <v/>
      </c>
      <c r="G293" s="3" t="str">
        <f>IFERROR(INDEX(Input!$G$2:$G$501,MATCH(292,Input!$J$2:$J$501,0)),"")</f>
        <v/>
      </c>
      <c r="H293" t="str">
        <f>IFERROR(INDEX(Input!$H$2:$H$501,MATCH(292,Input!$J$2:$J$501,0)),"")</f>
        <v/>
      </c>
    </row>
    <row r="294" spans="1:8" x14ac:dyDescent="0.35">
      <c r="A294" t="str">
        <f>IFERROR(INDEX(Input!$A$2:$A$501,MATCH(293,Input!$J$2:$J$501,0)),"")</f>
        <v/>
      </c>
      <c r="B294" t="str">
        <f>IFERROR(INDEX(Input!$B$2:$B$501,MATCH(293,Input!$J$2:$J$501,0)),"")</f>
        <v/>
      </c>
      <c r="C294" t="str">
        <f>IFERROR(INDEX(Input!$C$2:$C$501,MATCH(293,Input!$J$2:$J$501,0)),"")</f>
        <v/>
      </c>
      <c r="D294" t="str">
        <f>IFERROR(INDEX(Input!$D$2:$D$501,MATCH(293,Input!$J$2:$J$501,0)),"")</f>
        <v/>
      </c>
      <c r="E294" s="3" t="str">
        <f>IFERROR(INDEX(Input!$E$2:$E$501,MATCH(293,Input!$J$2:$J$501,0)),"")</f>
        <v/>
      </c>
      <c r="F294" t="str">
        <f>IFERROR(INDEX(Input!$F$2:$F$501,MATCH(293,Input!$J$2:$J$501,0)),"")</f>
        <v/>
      </c>
      <c r="G294" s="3" t="str">
        <f>IFERROR(INDEX(Input!$G$2:$G$501,MATCH(293,Input!$J$2:$J$501,0)),"")</f>
        <v/>
      </c>
      <c r="H294" t="str">
        <f>IFERROR(INDEX(Input!$H$2:$H$501,MATCH(293,Input!$J$2:$J$501,0)),"")</f>
        <v/>
      </c>
    </row>
    <row r="295" spans="1:8" x14ac:dyDescent="0.35">
      <c r="A295" t="str">
        <f>IFERROR(INDEX(Input!$A$2:$A$501,MATCH(294,Input!$J$2:$J$501,0)),"")</f>
        <v/>
      </c>
      <c r="B295" t="str">
        <f>IFERROR(INDEX(Input!$B$2:$B$501,MATCH(294,Input!$J$2:$J$501,0)),"")</f>
        <v/>
      </c>
      <c r="C295" t="str">
        <f>IFERROR(INDEX(Input!$C$2:$C$501,MATCH(294,Input!$J$2:$J$501,0)),"")</f>
        <v/>
      </c>
      <c r="D295" t="str">
        <f>IFERROR(INDEX(Input!$D$2:$D$501,MATCH(294,Input!$J$2:$J$501,0)),"")</f>
        <v/>
      </c>
      <c r="E295" s="3" t="str">
        <f>IFERROR(INDEX(Input!$E$2:$E$501,MATCH(294,Input!$J$2:$J$501,0)),"")</f>
        <v/>
      </c>
      <c r="F295" t="str">
        <f>IFERROR(INDEX(Input!$F$2:$F$501,MATCH(294,Input!$J$2:$J$501,0)),"")</f>
        <v/>
      </c>
      <c r="G295" s="3" t="str">
        <f>IFERROR(INDEX(Input!$G$2:$G$501,MATCH(294,Input!$J$2:$J$501,0)),"")</f>
        <v/>
      </c>
      <c r="H295" t="str">
        <f>IFERROR(INDEX(Input!$H$2:$H$501,MATCH(294,Input!$J$2:$J$501,0)),"")</f>
        <v/>
      </c>
    </row>
    <row r="296" spans="1:8" x14ac:dyDescent="0.35">
      <c r="A296" t="str">
        <f>IFERROR(INDEX(Input!$A$2:$A$501,MATCH(295,Input!$J$2:$J$501,0)),"")</f>
        <v/>
      </c>
      <c r="B296" t="str">
        <f>IFERROR(INDEX(Input!$B$2:$B$501,MATCH(295,Input!$J$2:$J$501,0)),"")</f>
        <v/>
      </c>
      <c r="C296" t="str">
        <f>IFERROR(INDEX(Input!$C$2:$C$501,MATCH(295,Input!$J$2:$J$501,0)),"")</f>
        <v/>
      </c>
      <c r="D296" t="str">
        <f>IFERROR(INDEX(Input!$D$2:$D$501,MATCH(295,Input!$J$2:$J$501,0)),"")</f>
        <v/>
      </c>
      <c r="E296" s="3" t="str">
        <f>IFERROR(INDEX(Input!$E$2:$E$501,MATCH(295,Input!$J$2:$J$501,0)),"")</f>
        <v/>
      </c>
      <c r="F296" t="str">
        <f>IFERROR(INDEX(Input!$F$2:$F$501,MATCH(295,Input!$J$2:$J$501,0)),"")</f>
        <v/>
      </c>
      <c r="G296" s="3" t="str">
        <f>IFERROR(INDEX(Input!$G$2:$G$501,MATCH(295,Input!$J$2:$J$501,0)),"")</f>
        <v/>
      </c>
      <c r="H296" t="str">
        <f>IFERROR(INDEX(Input!$H$2:$H$501,MATCH(295,Input!$J$2:$J$501,0)),"")</f>
        <v/>
      </c>
    </row>
    <row r="297" spans="1:8" x14ac:dyDescent="0.35">
      <c r="A297" t="str">
        <f>IFERROR(INDEX(Input!$A$2:$A$501,MATCH(296,Input!$J$2:$J$501,0)),"")</f>
        <v/>
      </c>
      <c r="B297" t="str">
        <f>IFERROR(INDEX(Input!$B$2:$B$501,MATCH(296,Input!$J$2:$J$501,0)),"")</f>
        <v/>
      </c>
      <c r="C297" t="str">
        <f>IFERROR(INDEX(Input!$C$2:$C$501,MATCH(296,Input!$J$2:$J$501,0)),"")</f>
        <v/>
      </c>
      <c r="D297" t="str">
        <f>IFERROR(INDEX(Input!$D$2:$D$501,MATCH(296,Input!$J$2:$J$501,0)),"")</f>
        <v/>
      </c>
      <c r="E297" s="3" t="str">
        <f>IFERROR(INDEX(Input!$E$2:$E$501,MATCH(296,Input!$J$2:$J$501,0)),"")</f>
        <v/>
      </c>
      <c r="F297" t="str">
        <f>IFERROR(INDEX(Input!$F$2:$F$501,MATCH(296,Input!$J$2:$J$501,0)),"")</f>
        <v/>
      </c>
      <c r="G297" s="3" t="str">
        <f>IFERROR(INDEX(Input!$G$2:$G$501,MATCH(296,Input!$J$2:$J$501,0)),"")</f>
        <v/>
      </c>
      <c r="H297" t="str">
        <f>IFERROR(INDEX(Input!$H$2:$H$501,MATCH(296,Input!$J$2:$J$501,0)),"")</f>
        <v/>
      </c>
    </row>
    <row r="298" spans="1:8" x14ac:dyDescent="0.35">
      <c r="A298" t="str">
        <f>IFERROR(INDEX(Input!$A$2:$A$501,MATCH(297,Input!$J$2:$J$501,0)),"")</f>
        <v/>
      </c>
      <c r="B298" t="str">
        <f>IFERROR(INDEX(Input!$B$2:$B$501,MATCH(297,Input!$J$2:$J$501,0)),"")</f>
        <v/>
      </c>
      <c r="C298" t="str">
        <f>IFERROR(INDEX(Input!$C$2:$C$501,MATCH(297,Input!$J$2:$J$501,0)),"")</f>
        <v/>
      </c>
      <c r="D298" t="str">
        <f>IFERROR(INDEX(Input!$D$2:$D$501,MATCH(297,Input!$J$2:$J$501,0)),"")</f>
        <v/>
      </c>
      <c r="E298" s="3" t="str">
        <f>IFERROR(INDEX(Input!$E$2:$E$501,MATCH(297,Input!$J$2:$J$501,0)),"")</f>
        <v/>
      </c>
      <c r="F298" t="str">
        <f>IFERROR(INDEX(Input!$F$2:$F$501,MATCH(297,Input!$J$2:$J$501,0)),"")</f>
        <v/>
      </c>
      <c r="G298" s="3" t="str">
        <f>IFERROR(INDEX(Input!$G$2:$G$501,MATCH(297,Input!$J$2:$J$501,0)),"")</f>
        <v/>
      </c>
      <c r="H298" t="str">
        <f>IFERROR(INDEX(Input!$H$2:$H$501,MATCH(297,Input!$J$2:$J$501,0)),"")</f>
        <v/>
      </c>
    </row>
    <row r="299" spans="1:8" x14ac:dyDescent="0.35">
      <c r="A299" t="str">
        <f>IFERROR(INDEX(Input!$A$2:$A$501,MATCH(298,Input!$J$2:$J$501,0)),"")</f>
        <v/>
      </c>
      <c r="B299" t="str">
        <f>IFERROR(INDEX(Input!$B$2:$B$501,MATCH(298,Input!$J$2:$J$501,0)),"")</f>
        <v/>
      </c>
      <c r="C299" t="str">
        <f>IFERROR(INDEX(Input!$C$2:$C$501,MATCH(298,Input!$J$2:$J$501,0)),"")</f>
        <v/>
      </c>
      <c r="D299" t="str">
        <f>IFERROR(INDEX(Input!$D$2:$D$501,MATCH(298,Input!$J$2:$J$501,0)),"")</f>
        <v/>
      </c>
      <c r="E299" s="3" t="str">
        <f>IFERROR(INDEX(Input!$E$2:$E$501,MATCH(298,Input!$J$2:$J$501,0)),"")</f>
        <v/>
      </c>
      <c r="F299" t="str">
        <f>IFERROR(INDEX(Input!$F$2:$F$501,MATCH(298,Input!$J$2:$J$501,0)),"")</f>
        <v/>
      </c>
      <c r="G299" s="3" t="str">
        <f>IFERROR(INDEX(Input!$G$2:$G$501,MATCH(298,Input!$J$2:$J$501,0)),"")</f>
        <v/>
      </c>
      <c r="H299" t="str">
        <f>IFERROR(INDEX(Input!$H$2:$H$501,MATCH(298,Input!$J$2:$J$501,0)),"")</f>
        <v/>
      </c>
    </row>
    <row r="300" spans="1:8" x14ac:dyDescent="0.35">
      <c r="A300" t="str">
        <f>IFERROR(INDEX(Input!$A$2:$A$501,MATCH(299,Input!$J$2:$J$501,0)),"")</f>
        <v/>
      </c>
      <c r="B300" t="str">
        <f>IFERROR(INDEX(Input!$B$2:$B$501,MATCH(299,Input!$J$2:$J$501,0)),"")</f>
        <v/>
      </c>
      <c r="C300" t="str">
        <f>IFERROR(INDEX(Input!$C$2:$C$501,MATCH(299,Input!$J$2:$J$501,0)),"")</f>
        <v/>
      </c>
      <c r="D300" t="str">
        <f>IFERROR(INDEX(Input!$D$2:$D$501,MATCH(299,Input!$J$2:$J$501,0)),"")</f>
        <v/>
      </c>
      <c r="E300" s="3" t="str">
        <f>IFERROR(INDEX(Input!$E$2:$E$501,MATCH(299,Input!$J$2:$J$501,0)),"")</f>
        <v/>
      </c>
      <c r="F300" t="str">
        <f>IFERROR(INDEX(Input!$F$2:$F$501,MATCH(299,Input!$J$2:$J$501,0)),"")</f>
        <v/>
      </c>
      <c r="G300" s="3" t="str">
        <f>IFERROR(INDEX(Input!$G$2:$G$501,MATCH(299,Input!$J$2:$J$501,0)),"")</f>
        <v/>
      </c>
      <c r="H300" t="str">
        <f>IFERROR(INDEX(Input!$H$2:$H$501,MATCH(299,Input!$J$2:$J$501,0)),"")</f>
        <v/>
      </c>
    </row>
    <row r="301" spans="1:8" x14ac:dyDescent="0.35">
      <c r="A301" t="str">
        <f>IFERROR(INDEX(Input!$A$2:$A$501,MATCH(300,Input!$J$2:$J$501,0)),"")</f>
        <v/>
      </c>
      <c r="B301" t="str">
        <f>IFERROR(INDEX(Input!$B$2:$B$501,MATCH(300,Input!$J$2:$J$501,0)),"")</f>
        <v/>
      </c>
      <c r="C301" t="str">
        <f>IFERROR(INDEX(Input!$C$2:$C$501,MATCH(300,Input!$J$2:$J$501,0)),"")</f>
        <v/>
      </c>
      <c r="D301" t="str">
        <f>IFERROR(INDEX(Input!$D$2:$D$501,MATCH(300,Input!$J$2:$J$501,0)),"")</f>
        <v/>
      </c>
      <c r="E301" s="3" t="str">
        <f>IFERROR(INDEX(Input!$E$2:$E$501,MATCH(300,Input!$J$2:$J$501,0)),"")</f>
        <v/>
      </c>
      <c r="F301" t="str">
        <f>IFERROR(INDEX(Input!$F$2:$F$501,MATCH(300,Input!$J$2:$J$501,0)),"")</f>
        <v/>
      </c>
      <c r="G301" s="3" t="str">
        <f>IFERROR(INDEX(Input!$G$2:$G$501,MATCH(300,Input!$J$2:$J$501,0)),"")</f>
        <v/>
      </c>
      <c r="H301" t="str">
        <f>IFERROR(INDEX(Input!$H$2:$H$501,MATCH(300,Input!$J$2:$J$501,0)),"")</f>
        <v/>
      </c>
    </row>
    <row r="302" spans="1:8" x14ac:dyDescent="0.35">
      <c r="A302" t="str">
        <f>IFERROR(INDEX(Input!$A$2:$A$501,MATCH(301,Input!$J$2:$J$501,0)),"")</f>
        <v/>
      </c>
      <c r="B302" t="str">
        <f>IFERROR(INDEX(Input!$B$2:$B$501,MATCH(301,Input!$J$2:$J$501,0)),"")</f>
        <v/>
      </c>
      <c r="C302" t="str">
        <f>IFERROR(INDEX(Input!$C$2:$C$501,MATCH(301,Input!$J$2:$J$501,0)),"")</f>
        <v/>
      </c>
      <c r="D302" t="str">
        <f>IFERROR(INDEX(Input!$D$2:$D$501,MATCH(301,Input!$J$2:$J$501,0)),"")</f>
        <v/>
      </c>
      <c r="E302" s="3" t="str">
        <f>IFERROR(INDEX(Input!$E$2:$E$501,MATCH(301,Input!$J$2:$J$501,0)),"")</f>
        <v/>
      </c>
      <c r="F302" t="str">
        <f>IFERROR(INDEX(Input!$F$2:$F$501,MATCH(301,Input!$J$2:$J$501,0)),"")</f>
        <v/>
      </c>
      <c r="G302" s="3" t="str">
        <f>IFERROR(INDEX(Input!$G$2:$G$501,MATCH(301,Input!$J$2:$J$501,0)),"")</f>
        <v/>
      </c>
      <c r="H302" t="str">
        <f>IFERROR(INDEX(Input!$H$2:$H$501,MATCH(301,Input!$J$2:$J$501,0)),"")</f>
        <v/>
      </c>
    </row>
    <row r="303" spans="1:8" x14ac:dyDescent="0.35">
      <c r="A303" t="str">
        <f>IFERROR(INDEX(Input!$A$2:$A$501,MATCH(302,Input!$J$2:$J$501,0)),"")</f>
        <v/>
      </c>
      <c r="B303" t="str">
        <f>IFERROR(INDEX(Input!$B$2:$B$501,MATCH(302,Input!$J$2:$J$501,0)),"")</f>
        <v/>
      </c>
      <c r="C303" t="str">
        <f>IFERROR(INDEX(Input!$C$2:$C$501,MATCH(302,Input!$J$2:$J$501,0)),"")</f>
        <v/>
      </c>
      <c r="D303" t="str">
        <f>IFERROR(INDEX(Input!$D$2:$D$501,MATCH(302,Input!$J$2:$J$501,0)),"")</f>
        <v/>
      </c>
      <c r="E303" s="3" t="str">
        <f>IFERROR(INDEX(Input!$E$2:$E$501,MATCH(302,Input!$J$2:$J$501,0)),"")</f>
        <v/>
      </c>
      <c r="F303" t="str">
        <f>IFERROR(INDEX(Input!$F$2:$F$501,MATCH(302,Input!$J$2:$J$501,0)),"")</f>
        <v/>
      </c>
      <c r="G303" s="3" t="str">
        <f>IFERROR(INDEX(Input!$G$2:$G$501,MATCH(302,Input!$J$2:$J$501,0)),"")</f>
        <v/>
      </c>
      <c r="H303" t="str">
        <f>IFERROR(INDEX(Input!$H$2:$H$501,MATCH(302,Input!$J$2:$J$501,0)),"")</f>
        <v/>
      </c>
    </row>
    <row r="304" spans="1:8" x14ac:dyDescent="0.35">
      <c r="A304" t="str">
        <f>IFERROR(INDEX(Input!$A$2:$A$501,MATCH(303,Input!$J$2:$J$501,0)),"")</f>
        <v/>
      </c>
      <c r="B304" t="str">
        <f>IFERROR(INDEX(Input!$B$2:$B$501,MATCH(303,Input!$J$2:$J$501,0)),"")</f>
        <v/>
      </c>
      <c r="C304" t="str">
        <f>IFERROR(INDEX(Input!$C$2:$C$501,MATCH(303,Input!$J$2:$J$501,0)),"")</f>
        <v/>
      </c>
      <c r="D304" t="str">
        <f>IFERROR(INDEX(Input!$D$2:$D$501,MATCH(303,Input!$J$2:$J$501,0)),"")</f>
        <v/>
      </c>
      <c r="E304" s="3" t="str">
        <f>IFERROR(INDEX(Input!$E$2:$E$501,MATCH(303,Input!$J$2:$J$501,0)),"")</f>
        <v/>
      </c>
      <c r="F304" t="str">
        <f>IFERROR(INDEX(Input!$F$2:$F$501,MATCH(303,Input!$J$2:$J$501,0)),"")</f>
        <v/>
      </c>
      <c r="G304" s="3" t="str">
        <f>IFERROR(INDEX(Input!$G$2:$G$501,MATCH(303,Input!$J$2:$J$501,0)),"")</f>
        <v/>
      </c>
      <c r="H304" t="str">
        <f>IFERROR(INDEX(Input!$H$2:$H$501,MATCH(303,Input!$J$2:$J$501,0)),"")</f>
        <v/>
      </c>
    </row>
    <row r="305" spans="1:8" x14ac:dyDescent="0.35">
      <c r="A305" t="str">
        <f>IFERROR(INDEX(Input!$A$2:$A$501,MATCH(304,Input!$J$2:$J$501,0)),"")</f>
        <v/>
      </c>
      <c r="B305" t="str">
        <f>IFERROR(INDEX(Input!$B$2:$B$501,MATCH(304,Input!$J$2:$J$501,0)),"")</f>
        <v/>
      </c>
      <c r="C305" t="str">
        <f>IFERROR(INDEX(Input!$C$2:$C$501,MATCH(304,Input!$J$2:$J$501,0)),"")</f>
        <v/>
      </c>
      <c r="D305" t="str">
        <f>IFERROR(INDEX(Input!$D$2:$D$501,MATCH(304,Input!$J$2:$J$501,0)),"")</f>
        <v/>
      </c>
      <c r="E305" s="3" t="str">
        <f>IFERROR(INDEX(Input!$E$2:$E$501,MATCH(304,Input!$J$2:$J$501,0)),"")</f>
        <v/>
      </c>
      <c r="F305" t="str">
        <f>IFERROR(INDEX(Input!$F$2:$F$501,MATCH(304,Input!$J$2:$J$501,0)),"")</f>
        <v/>
      </c>
      <c r="G305" s="3" t="str">
        <f>IFERROR(INDEX(Input!$G$2:$G$501,MATCH(304,Input!$J$2:$J$501,0)),"")</f>
        <v/>
      </c>
      <c r="H305" t="str">
        <f>IFERROR(INDEX(Input!$H$2:$H$501,MATCH(304,Input!$J$2:$J$501,0)),"")</f>
        <v/>
      </c>
    </row>
    <row r="306" spans="1:8" x14ac:dyDescent="0.35">
      <c r="A306" t="str">
        <f>IFERROR(INDEX(Input!$A$2:$A$501,MATCH(305,Input!$J$2:$J$501,0)),"")</f>
        <v/>
      </c>
      <c r="B306" t="str">
        <f>IFERROR(INDEX(Input!$B$2:$B$501,MATCH(305,Input!$J$2:$J$501,0)),"")</f>
        <v/>
      </c>
      <c r="C306" t="str">
        <f>IFERROR(INDEX(Input!$C$2:$C$501,MATCH(305,Input!$J$2:$J$501,0)),"")</f>
        <v/>
      </c>
      <c r="D306" t="str">
        <f>IFERROR(INDEX(Input!$D$2:$D$501,MATCH(305,Input!$J$2:$J$501,0)),"")</f>
        <v/>
      </c>
      <c r="E306" s="3" t="str">
        <f>IFERROR(INDEX(Input!$E$2:$E$501,MATCH(305,Input!$J$2:$J$501,0)),"")</f>
        <v/>
      </c>
      <c r="F306" t="str">
        <f>IFERROR(INDEX(Input!$F$2:$F$501,MATCH(305,Input!$J$2:$J$501,0)),"")</f>
        <v/>
      </c>
      <c r="G306" s="3" t="str">
        <f>IFERROR(INDEX(Input!$G$2:$G$501,MATCH(305,Input!$J$2:$J$501,0)),"")</f>
        <v/>
      </c>
      <c r="H306" t="str">
        <f>IFERROR(INDEX(Input!$H$2:$H$501,MATCH(305,Input!$J$2:$J$501,0)),"")</f>
        <v/>
      </c>
    </row>
    <row r="307" spans="1:8" x14ac:dyDescent="0.35">
      <c r="A307" t="str">
        <f>IFERROR(INDEX(Input!$A$2:$A$501,MATCH(306,Input!$J$2:$J$501,0)),"")</f>
        <v/>
      </c>
      <c r="B307" t="str">
        <f>IFERROR(INDEX(Input!$B$2:$B$501,MATCH(306,Input!$J$2:$J$501,0)),"")</f>
        <v/>
      </c>
      <c r="C307" t="str">
        <f>IFERROR(INDEX(Input!$C$2:$C$501,MATCH(306,Input!$J$2:$J$501,0)),"")</f>
        <v/>
      </c>
      <c r="D307" t="str">
        <f>IFERROR(INDEX(Input!$D$2:$D$501,MATCH(306,Input!$J$2:$J$501,0)),"")</f>
        <v/>
      </c>
      <c r="E307" s="3" t="str">
        <f>IFERROR(INDEX(Input!$E$2:$E$501,MATCH(306,Input!$J$2:$J$501,0)),"")</f>
        <v/>
      </c>
      <c r="F307" t="str">
        <f>IFERROR(INDEX(Input!$F$2:$F$501,MATCH(306,Input!$J$2:$J$501,0)),"")</f>
        <v/>
      </c>
      <c r="G307" s="3" t="str">
        <f>IFERROR(INDEX(Input!$G$2:$G$501,MATCH(306,Input!$J$2:$J$501,0)),"")</f>
        <v/>
      </c>
      <c r="H307" t="str">
        <f>IFERROR(INDEX(Input!$H$2:$H$501,MATCH(306,Input!$J$2:$J$501,0)),"")</f>
        <v/>
      </c>
    </row>
    <row r="308" spans="1:8" x14ac:dyDescent="0.35">
      <c r="A308" t="str">
        <f>IFERROR(INDEX(Input!$A$2:$A$501,MATCH(307,Input!$J$2:$J$501,0)),"")</f>
        <v/>
      </c>
      <c r="B308" t="str">
        <f>IFERROR(INDEX(Input!$B$2:$B$501,MATCH(307,Input!$J$2:$J$501,0)),"")</f>
        <v/>
      </c>
      <c r="C308" t="str">
        <f>IFERROR(INDEX(Input!$C$2:$C$501,MATCH(307,Input!$J$2:$J$501,0)),"")</f>
        <v/>
      </c>
      <c r="D308" t="str">
        <f>IFERROR(INDEX(Input!$D$2:$D$501,MATCH(307,Input!$J$2:$J$501,0)),"")</f>
        <v/>
      </c>
      <c r="E308" s="3" t="str">
        <f>IFERROR(INDEX(Input!$E$2:$E$501,MATCH(307,Input!$J$2:$J$501,0)),"")</f>
        <v/>
      </c>
      <c r="F308" t="str">
        <f>IFERROR(INDEX(Input!$F$2:$F$501,MATCH(307,Input!$J$2:$J$501,0)),"")</f>
        <v/>
      </c>
      <c r="G308" s="3" t="str">
        <f>IFERROR(INDEX(Input!$G$2:$G$501,MATCH(307,Input!$J$2:$J$501,0)),"")</f>
        <v/>
      </c>
      <c r="H308" t="str">
        <f>IFERROR(INDEX(Input!$H$2:$H$501,MATCH(307,Input!$J$2:$J$501,0)),"")</f>
        <v/>
      </c>
    </row>
    <row r="309" spans="1:8" x14ac:dyDescent="0.35">
      <c r="A309" t="str">
        <f>IFERROR(INDEX(Input!$A$2:$A$501,MATCH(308,Input!$J$2:$J$501,0)),"")</f>
        <v/>
      </c>
      <c r="B309" t="str">
        <f>IFERROR(INDEX(Input!$B$2:$B$501,MATCH(308,Input!$J$2:$J$501,0)),"")</f>
        <v/>
      </c>
      <c r="C309" t="str">
        <f>IFERROR(INDEX(Input!$C$2:$C$501,MATCH(308,Input!$J$2:$J$501,0)),"")</f>
        <v/>
      </c>
      <c r="D309" t="str">
        <f>IFERROR(INDEX(Input!$D$2:$D$501,MATCH(308,Input!$J$2:$J$501,0)),"")</f>
        <v/>
      </c>
      <c r="E309" s="3" t="str">
        <f>IFERROR(INDEX(Input!$E$2:$E$501,MATCH(308,Input!$J$2:$J$501,0)),"")</f>
        <v/>
      </c>
      <c r="F309" t="str">
        <f>IFERROR(INDEX(Input!$F$2:$F$501,MATCH(308,Input!$J$2:$J$501,0)),"")</f>
        <v/>
      </c>
      <c r="G309" s="3" t="str">
        <f>IFERROR(INDEX(Input!$G$2:$G$501,MATCH(308,Input!$J$2:$J$501,0)),"")</f>
        <v/>
      </c>
      <c r="H309" t="str">
        <f>IFERROR(INDEX(Input!$H$2:$H$501,MATCH(308,Input!$J$2:$J$501,0)),"")</f>
        <v/>
      </c>
    </row>
    <row r="310" spans="1:8" x14ac:dyDescent="0.35">
      <c r="A310" t="str">
        <f>IFERROR(INDEX(Input!$A$2:$A$501,MATCH(309,Input!$J$2:$J$501,0)),"")</f>
        <v/>
      </c>
      <c r="B310" t="str">
        <f>IFERROR(INDEX(Input!$B$2:$B$501,MATCH(309,Input!$J$2:$J$501,0)),"")</f>
        <v/>
      </c>
      <c r="C310" t="str">
        <f>IFERROR(INDEX(Input!$C$2:$C$501,MATCH(309,Input!$J$2:$J$501,0)),"")</f>
        <v/>
      </c>
      <c r="D310" t="str">
        <f>IFERROR(INDEX(Input!$D$2:$D$501,MATCH(309,Input!$J$2:$J$501,0)),"")</f>
        <v/>
      </c>
      <c r="E310" s="3" t="str">
        <f>IFERROR(INDEX(Input!$E$2:$E$501,MATCH(309,Input!$J$2:$J$501,0)),"")</f>
        <v/>
      </c>
      <c r="F310" t="str">
        <f>IFERROR(INDEX(Input!$F$2:$F$501,MATCH(309,Input!$J$2:$J$501,0)),"")</f>
        <v/>
      </c>
      <c r="G310" s="3" t="str">
        <f>IFERROR(INDEX(Input!$G$2:$G$501,MATCH(309,Input!$J$2:$J$501,0)),"")</f>
        <v/>
      </c>
      <c r="H310" t="str">
        <f>IFERROR(INDEX(Input!$H$2:$H$501,MATCH(309,Input!$J$2:$J$501,0)),"")</f>
        <v/>
      </c>
    </row>
    <row r="311" spans="1:8" x14ac:dyDescent="0.35">
      <c r="A311" t="str">
        <f>IFERROR(INDEX(Input!$A$2:$A$501,MATCH(310,Input!$J$2:$J$501,0)),"")</f>
        <v/>
      </c>
      <c r="B311" t="str">
        <f>IFERROR(INDEX(Input!$B$2:$B$501,MATCH(310,Input!$J$2:$J$501,0)),"")</f>
        <v/>
      </c>
      <c r="C311" t="str">
        <f>IFERROR(INDEX(Input!$C$2:$C$501,MATCH(310,Input!$J$2:$J$501,0)),"")</f>
        <v/>
      </c>
      <c r="D311" t="str">
        <f>IFERROR(INDEX(Input!$D$2:$D$501,MATCH(310,Input!$J$2:$J$501,0)),"")</f>
        <v/>
      </c>
      <c r="E311" s="3" t="str">
        <f>IFERROR(INDEX(Input!$E$2:$E$501,MATCH(310,Input!$J$2:$J$501,0)),"")</f>
        <v/>
      </c>
      <c r="F311" t="str">
        <f>IFERROR(INDEX(Input!$F$2:$F$501,MATCH(310,Input!$J$2:$J$501,0)),"")</f>
        <v/>
      </c>
      <c r="G311" s="3" t="str">
        <f>IFERROR(INDEX(Input!$G$2:$G$501,MATCH(310,Input!$J$2:$J$501,0)),"")</f>
        <v/>
      </c>
      <c r="H311" t="str">
        <f>IFERROR(INDEX(Input!$H$2:$H$501,MATCH(310,Input!$J$2:$J$501,0)),"")</f>
        <v/>
      </c>
    </row>
    <row r="312" spans="1:8" x14ac:dyDescent="0.35">
      <c r="A312" t="str">
        <f>IFERROR(INDEX(Input!$A$2:$A$501,MATCH(311,Input!$J$2:$J$501,0)),"")</f>
        <v/>
      </c>
      <c r="B312" t="str">
        <f>IFERROR(INDEX(Input!$B$2:$B$501,MATCH(311,Input!$J$2:$J$501,0)),"")</f>
        <v/>
      </c>
      <c r="C312" t="str">
        <f>IFERROR(INDEX(Input!$C$2:$C$501,MATCH(311,Input!$J$2:$J$501,0)),"")</f>
        <v/>
      </c>
      <c r="D312" t="str">
        <f>IFERROR(INDEX(Input!$D$2:$D$501,MATCH(311,Input!$J$2:$J$501,0)),"")</f>
        <v/>
      </c>
      <c r="E312" s="3" t="str">
        <f>IFERROR(INDEX(Input!$E$2:$E$501,MATCH(311,Input!$J$2:$J$501,0)),"")</f>
        <v/>
      </c>
      <c r="F312" t="str">
        <f>IFERROR(INDEX(Input!$F$2:$F$501,MATCH(311,Input!$J$2:$J$501,0)),"")</f>
        <v/>
      </c>
      <c r="G312" s="3" t="str">
        <f>IFERROR(INDEX(Input!$G$2:$G$501,MATCH(311,Input!$J$2:$J$501,0)),"")</f>
        <v/>
      </c>
      <c r="H312" t="str">
        <f>IFERROR(INDEX(Input!$H$2:$H$501,MATCH(311,Input!$J$2:$J$501,0)),"")</f>
        <v/>
      </c>
    </row>
    <row r="313" spans="1:8" x14ac:dyDescent="0.35">
      <c r="A313" t="str">
        <f>IFERROR(INDEX(Input!$A$2:$A$501,MATCH(312,Input!$J$2:$J$501,0)),"")</f>
        <v/>
      </c>
      <c r="B313" t="str">
        <f>IFERROR(INDEX(Input!$B$2:$B$501,MATCH(312,Input!$J$2:$J$501,0)),"")</f>
        <v/>
      </c>
      <c r="C313" t="str">
        <f>IFERROR(INDEX(Input!$C$2:$C$501,MATCH(312,Input!$J$2:$J$501,0)),"")</f>
        <v/>
      </c>
      <c r="D313" t="str">
        <f>IFERROR(INDEX(Input!$D$2:$D$501,MATCH(312,Input!$J$2:$J$501,0)),"")</f>
        <v/>
      </c>
      <c r="E313" s="3" t="str">
        <f>IFERROR(INDEX(Input!$E$2:$E$501,MATCH(312,Input!$J$2:$J$501,0)),"")</f>
        <v/>
      </c>
      <c r="F313" t="str">
        <f>IFERROR(INDEX(Input!$F$2:$F$501,MATCH(312,Input!$J$2:$J$501,0)),"")</f>
        <v/>
      </c>
      <c r="G313" s="3" t="str">
        <f>IFERROR(INDEX(Input!$G$2:$G$501,MATCH(312,Input!$J$2:$J$501,0)),"")</f>
        <v/>
      </c>
      <c r="H313" t="str">
        <f>IFERROR(INDEX(Input!$H$2:$H$501,MATCH(312,Input!$J$2:$J$501,0)),"")</f>
        <v/>
      </c>
    </row>
    <row r="314" spans="1:8" x14ac:dyDescent="0.35">
      <c r="A314" t="str">
        <f>IFERROR(INDEX(Input!$A$2:$A$501,MATCH(313,Input!$J$2:$J$501,0)),"")</f>
        <v/>
      </c>
      <c r="B314" t="str">
        <f>IFERROR(INDEX(Input!$B$2:$B$501,MATCH(313,Input!$J$2:$J$501,0)),"")</f>
        <v/>
      </c>
      <c r="C314" t="str">
        <f>IFERROR(INDEX(Input!$C$2:$C$501,MATCH(313,Input!$J$2:$J$501,0)),"")</f>
        <v/>
      </c>
      <c r="D314" t="str">
        <f>IFERROR(INDEX(Input!$D$2:$D$501,MATCH(313,Input!$J$2:$J$501,0)),"")</f>
        <v/>
      </c>
      <c r="E314" s="3" t="str">
        <f>IFERROR(INDEX(Input!$E$2:$E$501,MATCH(313,Input!$J$2:$J$501,0)),"")</f>
        <v/>
      </c>
      <c r="F314" t="str">
        <f>IFERROR(INDEX(Input!$F$2:$F$501,MATCH(313,Input!$J$2:$J$501,0)),"")</f>
        <v/>
      </c>
      <c r="G314" s="3" t="str">
        <f>IFERROR(INDEX(Input!$G$2:$G$501,MATCH(313,Input!$J$2:$J$501,0)),"")</f>
        <v/>
      </c>
      <c r="H314" t="str">
        <f>IFERROR(INDEX(Input!$H$2:$H$501,MATCH(313,Input!$J$2:$J$501,0)),"")</f>
        <v/>
      </c>
    </row>
    <row r="315" spans="1:8" x14ac:dyDescent="0.35">
      <c r="A315" t="str">
        <f>IFERROR(INDEX(Input!$A$2:$A$501,MATCH(314,Input!$J$2:$J$501,0)),"")</f>
        <v/>
      </c>
      <c r="B315" t="str">
        <f>IFERROR(INDEX(Input!$B$2:$B$501,MATCH(314,Input!$J$2:$J$501,0)),"")</f>
        <v/>
      </c>
      <c r="C315" t="str">
        <f>IFERROR(INDEX(Input!$C$2:$C$501,MATCH(314,Input!$J$2:$J$501,0)),"")</f>
        <v/>
      </c>
      <c r="D315" t="str">
        <f>IFERROR(INDEX(Input!$D$2:$D$501,MATCH(314,Input!$J$2:$J$501,0)),"")</f>
        <v/>
      </c>
      <c r="E315" s="3" t="str">
        <f>IFERROR(INDEX(Input!$E$2:$E$501,MATCH(314,Input!$J$2:$J$501,0)),"")</f>
        <v/>
      </c>
      <c r="F315" t="str">
        <f>IFERROR(INDEX(Input!$F$2:$F$501,MATCH(314,Input!$J$2:$J$501,0)),"")</f>
        <v/>
      </c>
      <c r="G315" s="3" t="str">
        <f>IFERROR(INDEX(Input!$G$2:$G$501,MATCH(314,Input!$J$2:$J$501,0)),"")</f>
        <v/>
      </c>
      <c r="H315" t="str">
        <f>IFERROR(INDEX(Input!$H$2:$H$501,MATCH(314,Input!$J$2:$J$501,0)),"")</f>
        <v/>
      </c>
    </row>
    <row r="316" spans="1:8" x14ac:dyDescent="0.35">
      <c r="A316" t="str">
        <f>IFERROR(INDEX(Input!$A$2:$A$501,MATCH(315,Input!$J$2:$J$501,0)),"")</f>
        <v/>
      </c>
      <c r="B316" t="str">
        <f>IFERROR(INDEX(Input!$B$2:$B$501,MATCH(315,Input!$J$2:$J$501,0)),"")</f>
        <v/>
      </c>
      <c r="C316" t="str">
        <f>IFERROR(INDEX(Input!$C$2:$C$501,MATCH(315,Input!$J$2:$J$501,0)),"")</f>
        <v/>
      </c>
      <c r="D316" t="str">
        <f>IFERROR(INDEX(Input!$D$2:$D$501,MATCH(315,Input!$J$2:$J$501,0)),"")</f>
        <v/>
      </c>
      <c r="E316" s="3" t="str">
        <f>IFERROR(INDEX(Input!$E$2:$E$501,MATCH(315,Input!$J$2:$J$501,0)),"")</f>
        <v/>
      </c>
      <c r="F316" t="str">
        <f>IFERROR(INDEX(Input!$F$2:$F$501,MATCH(315,Input!$J$2:$J$501,0)),"")</f>
        <v/>
      </c>
      <c r="G316" s="3" t="str">
        <f>IFERROR(INDEX(Input!$G$2:$G$501,MATCH(315,Input!$J$2:$J$501,0)),"")</f>
        <v/>
      </c>
      <c r="H316" t="str">
        <f>IFERROR(INDEX(Input!$H$2:$H$501,MATCH(315,Input!$J$2:$J$501,0)),"")</f>
        <v/>
      </c>
    </row>
    <row r="317" spans="1:8" x14ac:dyDescent="0.35">
      <c r="A317" t="str">
        <f>IFERROR(INDEX(Input!$A$2:$A$501,MATCH(316,Input!$J$2:$J$501,0)),"")</f>
        <v/>
      </c>
      <c r="B317" t="str">
        <f>IFERROR(INDEX(Input!$B$2:$B$501,MATCH(316,Input!$J$2:$J$501,0)),"")</f>
        <v/>
      </c>
      <c r="C317" t="str">
        <f>IFERROR(INDEX(Input!$C$2:$C$501,MATCH(316,Input!$J$2:$J$501,0)),"")</f>
        <v/>
      </c>
      <c r="D317" t="str">
        <f>IFERROR(INDEX(Input!$D$2:$D$501,MATCH(316,Input!$J$2:$J$501,0)),"")</f>
        <v/>
      </c>
      <c r="E317" s="3" t="str">
        <f>IFERROR(INDEX(Input!$E$2:$E$501,MATCH(316,Input!$J$2:$J$501,0)),"")</f>
        <v/>
      </c>
      <c r="F317" t="str">
        <f>IFERROR(INDEX(Input!$F$2:$F$501,MATCH(316,Input!$J$2:$J$501,0)),"")</f>
        <v/>
      </c>
      <c r="G317" s="3" t="str">
        <f>IFERROR(INDEX(Input!$G$2:$G$501,MATCH(316,Input!$J$2:$J$501,0)),"")</f>
        <v/>
      </c>
      <c r="H317" t="str">
        <f>IFERROR(INDEX(Input!$H$2:$H$501,MATCH(316,Input!$J$2:$J$501,0)),"")</f>
        <v/>
      </c>
    </row>
    <row r="318" spans="1:8" x14ac:dyDescent="0.35">
      <c r="A318" t="str">
        <f>IFERROR(INDEX(Input!$A$2:$A$501,MATCH(317,Input!$J$2:$J$501,0)),"")</f>
        <v/>
      </c>
      <c r="B318" t="str">
        <f>IFERROR(INDEX(Input!$B$2:$B$501,MATCH(317,Input!$J$2:$J$501,0)),"")</f>
        <v/>
      </c>
      <c r="C318" t="str">
        <f>IFERROR(INDEX(Input!$C$2:$C$501,MATCH(317,Input!$J$2:$J$501,0)),"")</f>
        <v/>
      </c>
      <c r="D318" t="str">
        <f>IFERROR(INDEX(Input!$D$2:$D$501,MATCH(317,Input!$J$2:$J$501,0)),"")</f>
        <v/>
      </c>
      <c r="E318" s="3" t="str">
        <f>IFERROR(INDEX(Input!$E$2:$E$501,MATCH(317,Input!$J$2:$J$501,0)),"")</f>
        <v/>
      </c>
      <c r="F318" t="str">
        <f>IFERROR(INDEX(Input!$F$2:$F$501,MATCH(317,Input!$J$2:$J$501,0)),"")</f>
        <v/>
      </c>
      <c r="G318" s="3" t="str">
        <f>IFERROR(INDEX(Input!$G$2:$G$501,MATCH(317,Input!$J$2:$J$501,0)),"")</f>
        <v/>
      </c>
      <c r="H318" t="str">
        <f>IFERROR(INDEX(Input!$H$2:$H$501,MATCH(317,Input!$J$2:$J$501,0)),"")</f>
        <v/>
      </c>
    </row>
    <row r="319" spans="1:8" x14ac:dyDescent="0.35">
      <c r="A319" t="str">
        <f>IFERROR(INDEX(Input!$A$2:$A$501,MATCH(318,Input!$J$2:$J$501,0)),"")</f>
        <v/>
      </c>
      <c r="B319" t="str">
        <f>IFERROR(INDEX(Input!$B$2:$B$501,MATCH(318,Input!$J$2:$J$501,0)),"")</f>
        <v/>
      </c>
      <c r="C319" t="str">
        <f>IFERROR(INDEX(Input!$C$2:$C$501,MATCH(318,Input!$J$2:$J$501,0)),"")</f>
        <v/>
      </c>
      <c r="D319" t="str">
        <f>IFERROR(INDEX(Input!$D$2:$D$501,MATCH(318,Input!$J$2:$J$501,0)),"")</f>
        <v/>
      </c>
      <c r="E319" s="3" t="str">
        <f>IFERROR(INDEX(Input!$E$2:$E$501,MATCH(318,Input!$J$2:$J$501,0)),"")</f>
        <v/>
      </c>
      <c r="F319" t="str">
        <f>IFERROR(INDEX(Input!$F$2:$F$501,MATCH(318,Input!$J$2:$J$501,0)),"")</f>
        <v/>
      </c>
      <c r="G319" s="3" t="str">
        <f>IFERROR(INDEX(Input!$G$2:$G$501,MATCH(318,Input!$J$2:$J$501,0)),"")</f>
        <v/>
      </c>
      <c r="H319" t="str">
        <f>IFERROR(INDEX(Input!$H$2:$H$501,MATCH(318,Input!$J$2:$J$501,0)),"")</f>
        <v/>
      </c>
    </row>
    <row r="320" spans="1:8" x14ac:dyDescent="0.35">
      <c r="A320" t="str">
        <f>IFERROR(INDEX(Input!$A$2:$A$501,MATCH(319,Input!$J$2:$J$501,0)),"")</f>
        <v/>
      </c>
      <c r="B320" t="str">
        <f>IFERROR(INDEX(Input!$B$2:$B$501,MATCH(319,Input!$J$2:$J$501,0)),"")</f>
        <v/>
      </c>
      <c r="C320" t="str">
        <f>IFERROR(INDEX(Input!$C$2:$C$501,MATCH(319,Input!$J$2:$J$501,0)),"")</f>
        <v/>
      </c>
      <c r="D320" t="str">
        <f>IFERROR(INDEX(Input!$D$2:$D$501,MATCH(319,Input!$J$2:$J$501,0)),"")</f>
        <v/>
      </c>
      <c r="E320" s="3" t="str">
        <f>IFERROR(INDEX(Input!$E$2:$E$501,MATCH(319,Input!$J$2:$J$501,0)),"")</f>
        <v/>
      </c>
      <c r="F320" t="str">
        <f>IFERROR(INDEX(Input!$F$2:$F$501,MATCH(319,Input!$J$2:$J$501,0)),"")</f>
        <v/>
      </c>
      <c r="G320" s="3" t="str">
        <f>IFERROR(INDEX(Input!$G$2:$G$501,MATCH(319,Input!$J$2:$J$501,0)),"")</f>
        <v/>
      </c>
      <c r="H320" t="str">
        <f>IFERROR(INDEX(Input!$H$2:$H$501,MATCH(319,Input!$J$2:$J$501,0)),"")</f>
        <v/>
      </c>
    </row>
    <row r="321" spans="1:8" x14ac:dyDescent="0.35">
      <c r="A321" t="str">
        <f>IFERROR(INDEX(Input!$A$2:$A$501,MATCH(320,Input!$J$2:$J$501,0)),"")</f>
        <v/>
      </c>
      <c r="B321" t="str">
        <f>IFERROR(INDEX(Input!$B$2:$B$501,MATCH(320,Input!$J$2:$J$501,0)),"")</f>
        <v/>
      </c>
      <c r="C321" t="str">
        <f>IFERROR(INDEX(Input!$C$2:$C$501,MATCH(320,Input!$J$2:$J$501,0)),"")</f>
        <v/>
      </c>
      <c r="D321" t="str">
        <f>IFERROR(INDEX(Input!$D$2:$D$501,MATCH(320,Input!$J$2:$J$501,0)),"")</f>
        <v/>
      </c>
      <c r="E321" s="3" t="str">
        <f>IFERROR(INDEX(Input!$E$2:$E$501,MATCH(320,Input!$J$2:$J$501,0)),"")</f>
        <v/>
      </c>
      <c r="F321" t="str">
        <f>IFERROR(INDEX(Input!$F$2:$F$501,MATCH(320,Input!$J$2:$J$501,0)),"")</f>
        <v/>
      </c>
      <c r="G321" s="3" t="str">
        <f>IFERROR(INDEX(Input!$G$2:$G$501,MATCH(320,Input!$J$2:$J$501,0)),"")</f>
        <v/>
      </c>
      <c r="H321" t="str">
        <f>IFERROR(INDEX(Input!$H$2:$H$501,MATCH(320,Input!$J$2:$J$501,0)),"")</f>
        <v/>
      </c>
    </row>
    <row r="322" spans="1:8" x14ac:dyDescent="0.35">
      <c r="A322" t="str">
        <f>IFERROR(INDEX(Input!$A$2:$A$501,MATCH(321,Input!$J$2:$J$501,0)),"")</f>
        <v/>
      </c>
      <c r="B322" t="str">
        <f>IFERROR(INDEX(Input!$B$2:$B$501,MATCH(321,Input!$J$2:$J$501,0)),"")</f>
        <v/>
      </c>
      <c r="C322" t="str">
        <f>IFERROR(INDEX(Input!$C$2:$C$501,MATCH(321,Input!$J$2:$J$501,0)),"")</f>
        <v/>
      </c>
      <c r="D322" t="str">
        <f>IFERROR(INDEX(Input!$D$2:$D$501,MATCH(321,Input!$J$2:$J$501,0)),"")</f>
        <v/>
      </c>
      <c r="E322" s="3" t="str">
        <f>IFERROR(INDEX(Input!$E$2:$E$501,MATCH(321,Input!$J$2:$J$501,0)),"")</f>
        <v/>
      </c>
      <c r="F322" t="str">
        <f>IFERROR(INDEX(Input!$F$2:$F$501,MATCH(321,Input!$J$2:$J$501,0)),"")</f>
        <v/>
      </c>
      <c r="G322" s="3" t="str">
        <f>IFERROR(INDEX(Input!$G$2:$G$501,MATCH(321,Input!$J$2:$J$501,0)),"")</f>
        <v/>
      </c>
      <c r="H322" t="str">
        <f>IFERROR(INDEX(Input!$H$2:$H$501,MATCH(321,Input!$J$2:$J$501,0)),"")</f>
        <v/>
      </c>
    </row>
    <row r="323" spans="1:8" x14ac:dyDescent="0.35">
      <c r="A323" t="str">
        <f>IFERROR(INDEX(Input!$A$2:$A$501,MATCH(322,Input!$J$2:$J$501,0)),"")</f>
        <v/>
      </c>
      <c r="B323" t="str">
        <f>IFERROR(INDEX(Input!$B$2:$B$501,MATCH(322,Input!$J$2:$J$501,0)),"")</f>
        <v/>
      </c>
      <c r="C323" t="str">
        <f>IFERROR(INDEX(Input!$C$2:$C$501,MATCH(322,Input!$J$2:$J$501,0)),"")</f>
        <v/>
      </c>
      <c r="D323" t="str">
        <f>IFERROR(INDEX(Input!$D$2:$D$501,MATCH(322,Input!$J$2:$J$501,0)),"")</f>
        <v/>
      </c>
      <c r="E323" s="3" t="str">
        <f>IFERROR(INDEX(Input!$E$2:$E$501,MATCH(322,Input!$J$2:$J$501,0)),"")</f>
        <v/>
      </c>
      <c r="F323" t="str">
        <f>IFERROR(INDEX(Input!$F$2:$F$501,MATCH(322,Input!$J$2:$J$501,0)),"")</f>
        <v/>
      </c>
      <c r="G323" s="3" t="str">
        <f>IFERROR(INDEX(Input!$G$2:$G$501,MATCH(322,Input!$J$2:$J$501,0)),"")</f>
        <v/>
      </c>
      <c r="H323" t="str">
        <f>IFERROR(INDEX(Input!$H$2:$H$501,MATCH(322,Input!$J$2:$J$501,0)),"")</f>
        <v/>
      </c>
    </row>
    <row r="324" spans="1:8" x14ac:dyDescent="0.35">
      <c r="A324" t="str">
        <f>IFERROR(INDEX(Input!$A$2:$A$501,MATCH(323,Input!$J$2:$J$501,0)),"")</f>
        <v/>
      </c>
      <c r="B324" t="str">
        <f>IFERROR(INDEX(Input!$B$2:$B$501,MATCH(323,Input!$J$2:$J$501,0)),"")</f>
        <v/>
      </c>
      <c r="C324" t="str">
        <f>IFERROR(INDEX(Input!$C$2:$C$501,MATCH(323,Input!$J$2:$J$501,0)),"")</f>
        <v/>
      </c>
      <c r="D324" t="str">
        <f>IFERROR(INDEX(Input!$D$2:$D$501,MATCH(323,Input!$J$2:$J$501,0)),"")</f>
        <v/>
      </c>
      <c r="E324" s="3" t="str">
        <f>IFERROR(INDEX(Input!$E$2:$E$501,MATCH(323,Input!$J$2:$J$501,0)),"")</f>
        <v/>
      </c>
      <c r="F324" t="str">
        <f>IFERROR(INDEX(Input!$F$2:$F$501,MATCH(323,Input!$J$2:$J$501,0)),"")</f>
        <v/>
      </c>
      <c r="G324" s="3" t="str">
        <f>IFERROR(INDEX(Input!$G$2:$G$501,MATCH(323,Input!$J$2:$J$501,0)),"")</f>
        <v/>
      </c>
      <c r="H324" t="str">
        <f>IFERROR(INDEX(Input!$H$2:$H$501,MATCH(323,Input!$J$2:$J$501,0)),"")</f>
        <v/>
      </c>
    </row>
    <row r="325" spans="1:8" x14ac:dyDescent="0.35">
      <c r="A325" t="str">
        <f>IFERROR(INDEX(Input!$A$2:$A$501,MATCH(324,Input!$J$2:$J$501,0)),"")</f>
        <v/>
      </c>
      <c r="B325" t="str">
        <f>IFERROR(INDEX(Input!$B$2:$B$501,MATCH(324,Input!$J$2:$J$501,0)),"")</f>
        <v/>
      </c>
      <c r="C325" t="str">
        <f>IFERROR(INDEX(Input!$C$2:$C$501,MATCH(324,Input!$J$2:$J$501,0)),"")</f>
        <v/>
      </c>
      <c r="D325" t="str">
        <f>IFERROR(INDEX(Input!$D$2:$D$501,MATCH(324,Input!$J$2:$J$501,0)),"")</f>
        <v/>
      </c>
      <c r="E325" s="3" t="str">
        <f>IFERROR(INDEX(Input!$E$2:$E$501,MATCH(324,Input!$J$2:$J$501,0)),"")</f>
        <v/>
      </c>
      <c r="F325" t="str">
        <f>IFERROR(INDEX(Input!$F$2:$F$501,MATCH(324,Input!$J$2:$J$501,0)),"")</f>
        <v/>
      </c>
      <c r="G325" s="3" t="str">
        <f>IFERROR(INDEX(Input!$G$2:$G$501,MATCH(324,Input!$J$2:$J$501,0)),"")</f>
        <v/>
      </c>
      <c r="H325" t="str">
        <f>IFERROR(INDEX(Input!$H$2:$H$501,MATCH(324,Input!$J$2:$J$501,0)),"")</f>
        <v/>
      </c>
    </row>
    <row r="326" spans="1:8" x14ac:dyDescent="0.35">
      <c r="A326" t="str">
        <f>IFERROR(INDEX(Input!$A$2:$A$501,MATCH(325,Input!$J$2:$J$501,0)),"")</f>
        <v/>
      </c>
      <c r="B326" t="str">
        <f>IFERROR(INDEX(Input!$B$2:$B$501,MATCH(325,Input!$J$2:$J$501,0)),"")</f>
        <v/>
      </c>
      <c r="C326" t="str">
        <f>IFERROR(INDEX(Input!$C$2:$C$501,MATCH(325,Input!$J$2:$J$501,0)),"")</f>
        <v/>
      </c>
      <c r="D326" t="str">
        <f>IFERROR(INDEX(Input!$D$2:$D$501,MATCH(325,Input!$J$2:$J$501,0)),"")</f>
        <v/>
      </c>
      <c r="E326" s="3" t="str">
        <f>IFERROR(INDEX(Input!$E$2:$E$501,MATCH(325,Input!$J$2:$J$501,0)),"")</f>
        <v/>
      </c>
      <c r="F326" t="str">
        <f>IFERROR(INDEX(Input!$F$2:$F$501,MATCH(325,Input!$J$2:$J$501,0)),"")</f>
        <v/>
      </c>
      <c r="G326" s="3" t="str">
        <f>IFERROR(INDEX(Input!$G$2:$G$501,MATCH(325,Input!$J$2:$J$501,0)),"")</f>
        <v/>
      </c>
      <c r="H326" t="str">
        <f>IFERROR(INDEX(Input!$H$2:$H$501,MATCH(325,Input!$J$2:$J$501,0)),"")</f>
        <v/>
      </c>
    </row>
    <row r="327" spans="1:8" x14ac:dyDescent="0.35">
      <c r="A327" t="str">
        <f>IFERROR(INDEX(Input!$A$2:$A$501,MATCH(326,Input!$J$2:$J$501,0)),"")</f>
        <v/>
      </c>
      <c r="B327" t="str">
        <f>IFERROR(INDEX(Input!$B$2:$B$501,MATCH(326,Input!$J$2:$J$501,0)),"")</f>
        <v/>
      </c>
      <c r="C327" t="str">
        <f>IFERROR(INDEX(Input!$C$2:$C$501,MATCH(326,Input!$J$2:$J$501,0)),"")</f>
        <v/>
      </c>
      <c r="D327" t="str">
        <f>IFERROR(INDEX(Input!$D$2:$D$501,MATCH(326,Input!$J$2:$J$501,0)),"")</f>
        <v/>
      </c>
      <c r="E327" s="3" t="str">
        <f>IFERROR(INDEX(Input!$E$2:$E$501,MATCH(326,Input!$J$2:$J$501,0)),"")</f>
        <v/>
      </c>
      <c r="F327" t="str">
        <f>IFERROR(INDEX(Input!$F$2:$F$501,MATCH(326,Input!$J$2:$J$501,0)),"")</f>
        <v/>
      </c>
      <c r="G327" s="3" t="str">
        <f>IFERROR(INDEX(Input!$G$2:$G$501,MATCH(326,Input!$J$2:$J$501,0)),"")</f>
        <v/>
      </c>
      <c r="H327" t="str">
        <f>IFERROR(INDEX(Input!$H$2:$H$501,MATCH(326,Input!$J$2:$J$501,0)),"")</f>
        <v/>
      </c>
    </row>
    <row r="328" spans="1:8" x14ac:dyDescent="0.35">
      <c r="A328" t="str">
        <f>IFERROR(INDEX(Input!$A$2:$A$501,MATCH(327,Input!$J$2:$J$501,0)),"")</f>
        <v/>
      </c>
      <c r="B328" t="str">
        <f>IFERROR(INDEX(Input!$B$2:$B$501,MATCH(327,Input!$J$2:$J$501,0)),"")</f>
        <v/>
      </c>
      <c r="C328" t="str">
        <f>IFERROR(INDEX(Input!$C$2:$C$501,MATCH(327,Input!$J$2:$J$501,0)),"")</f>
        <v/>
      </c>
      <c r="D328" t="str">
        <f>IFERROR(INDEX(Input!$D$2:$D$501,MATCH(327,Input!$J$2:$J$501,0)),"")</f>
        <v/>
      </c>
      <c r="E328" s="3" t="str">
        <f>IFERROR(INDEX(Input!$E$2:$E$501,MATCH(327,Input!$J$2:$J$501,0)),"")</f>
        <v/>
      </c>
      <c r="F328" t="str">
        <f>IFERROR(INDEX(Input!$F$2:$F$501,MATCH(327,Input!$J$2:$J$501,0)),"")</f>
        <v/>
      </c>
      <c r="G328" s="3" t="str">
        <f>IFERROR(INDEX(Input!$G$2:$G$501,MATCH(327,Input!$J$2:$J$501,0)),"")</f>
        <v/>
      </c>
      <c r="H328" t="str">
        <f>IFERROR(INDEX(Input!$H$2:$H$501,MATCH(327,Input!$J$2:$J$501,0)),"")</f>
        <v/>
      </c>
    </row>
    <row r="329" spans="1:8" x14ac:dyDescent="0.35">
      <c r="A329" t="str">
        <f>IFERROR(INDEX(Input!$A$2:$A$501,MATCH(328,Input!$J$2:$J$501,0)),"")</f>
        <v/>
      </c>
      <c r="B329" t="str">
        <f>IFERROR(INDEX(Input!$B$2:$B$501,MATCH(328,Input!$J$2:$J$501,0)),"")</f>
        <v/>
      </c>
      <c r="C329" t="str">
        <f>IFERROR(INDEX(Input!$C$2:$C$501,MATCH(328,Input!$J$2:$J$501,0)),"")</f>
        <v/>
      </c>
      <c r="D329" t="str">
        <f>IFERROR(INDEX(Input!$D$2:$D$501,MATCH(328,Input!$J$2:$J$501,0)),"")</f>
        <v/>
      </c>
      <c r="E329" s="3" t="str">
        <f>IFERROR(INDEX(Input!$E$2:$E$501,MATCH(328,Input!$J$2:$J$501,0)),"")</f>
        <v/>
      </c>
      <c r="F329" t="str">
        <f>IFERROR(INDEX(Input!$F$2:$F$501,MATCH(328,Input!$J$2:$J$501,0)),"")</f>
        <v/>
      </c>
      <c r="G329" s="3" t="str">
        <f>IFERROR(INDEX(Input!$G$2:$G$501,MATCH(328,Input!$J$2:$J$501,0)),"")</f>
        <v/>
      </c>
      <c r="H329" t="str">
        <f>IFERROR(INDEX(Input!$H$2:$H$501,MATCH(328,Input!$J$2:$J$501,0)),"")</f>
        <v/>
      </c>
    </row>
    <row r="330" spans="1:8" x14ac:dyDescent="0.35">
      <c r="A330" t="str">
        <f>IFERROR(INDEX(Input!$A$2:$A$501,MATCH(329,Input!$J$2:$J$501,0)),"")</f>
        <v>Tool components</v>
      </c>
      <c r="B330" t="str">
        <f>IFERROR(INDEX(Input!$B$2:$B$501,MATCH(329,Input!$J$2:$J$501,0)),"")</f>
        <v>Axe Head</v>
      </c>
      <c r="C330" t="str">
        <f>IFERROR(INDEX(Input!$C$2:$C$501,MATCH(329,Input!$J$2:$J$501,0)),"")</f>
        <v>Standard</v>
      </c>
      <c r="D330">
        <f>IFERROR(INDEX(Input!$D$2:$D$501,MATCH(329,Input!$J$2:$J$501,0)),"")</f>
        <v>0</v>
      </c>
      <c r="E330" s="3" t="str">
        <f>IFERROR(INDEX(Input!$E$2:$E$501,MATCH(329,Input!$J$2:$J$501,0)),"")</f>
        <v>Nei</v>
      </c>
      <c r="F330" t="str">
        <f>IFERROR(INDEX(Input!$F$2:$F$501,MATCH(329,Input!$J$2:$J$501,0)),"")</f>
        <v>Nei</v>
      </c>
      <c r="G330" s="3" t="str">
        <f>IFERROR(INDEX(Input!$G$2:$G$501,MATCH(329,Input!$J$2:$J$501,0)),"")</f>
        <v>MANGLER</v>
      </c>
      <c r="H330" t="str">
        <f>IFERROR(INDEX(Input!$H$2:$H$501,MATCH(329,Input!$J$2:$J$501,0)),"")</f>
        <v>Nei</v>
      </c>
    </row>
    <row r="331" spans="1:8" x14ac:dyDescent="0.35">
      <c r="A331" t="str">
        <f>IFERROR(INDEX(Input!$A$2:$A$501,MATCH(330,Input!$J$2:$J$501,0)),"")</f>
        <v>Materialformer</v>
      </c>
      <c r="B331" t="str">
        <f>IFERROR(INDEX(Input!$B$2:$B$501,MATCH(330,Input!$J$2:$J$501,0)),"")</f>
        <v>Ball</v>
      </c>
      <c r="C331" t="str">
        <f>IFERROR(INDEX(Input!$C$2:$C$501,MATCH(330,Input!$J$2:$J$501,0)),"")</f>
        <v>Tiny</v>
      </c>
      <c r="D331">
        <f>IFERROR(INDEX(Input!$D$2:$D$501,MATCH(330,Input!$J$2:$J$501,0)),"")</f>
        <v>0</v>
      </c>
      <c r="E331" s="3" t="str">
        <f>IFERROR(INDEX(Input!$E$2:$E$501,MATCH(330,Input!$J$2:$J$501,0)),"")</f>
        <v>Ja</v>
      </c>
      <c r="F331" t="str">
        <f>IFERROR(INDEX(Input!$F$2:$F$501,MATCH(330,Input!$J$2:$J$501,0)),"")</f>
        <v>Nei</v>
      </c>
      <c r="G331" s="3" t="str">
        <f>IFERROR(INDEX(Input!$G$2:$G$501,MATCH(330,Input!$J$2:$J$501,0)),"")</f>
        <v>MANGLER</v>
      </c>
      <c r="H331" t="str">
        <f>IFERROR(INDEX(Input!$H$2:$H$501,MATCH(330,Input!$J$2:$J$501,0)),"")</f>
        <v>Nei</v>
      </c>
    </row>
    <row r="332" spans="1:8" x14ac:dyDescent="0.35">
      <c r="A332" t="str">
        <f>IFERROR(INDEX(Input!$A$2:$A$501,MATCH(331,Input!$J$2:$J$501,0)),"")</f>
        <v>Materialformer</v>
      </c>
      <c r="B332" t="str">
        <f>IFERROR(INDEX(Input!$B$2:$B$501,MATCH(331,Input!$J$2:$J$501,0)),"")</f>
        <v>Ball</v>
      </c>
      <c r="C332" t="str">
        <f>IFERROR(INDEX(Input!$C$2:$C$501,MATCH(331,Input!$J$2:$J$501,0)),"")</f>
        <v>Small</v>
      </c>
      <c r="D332">
        <f>IFERROR(INDEX(Input!$D$2:$D$501,MATCH(331,Input!$J$2:$J$501,0)),"")</f>
        <v>0</v>
      </c>
      <c r="E332" s="3" t="str">
        <f>IFERROR(INDEX(Input!$E$2:$E$501,MATCH(331,Input!$J$2:$J$501,0)),"")</f>
        <v>Nei</v>
      </c>
      <c r="F332" t="str">
        <f>IFERROR(INDEX(Input!$F$2:$F$501,MATCH(331,Input!$J$2:$J$501,0)),"")</f>
        <v>Nei</v>
      </c>
      <c r="G332" s="3" t="str">
        <f>IFERROR(INDEX(Input!$G$2:$G$501,MATCH(331,Input!$J$2:$J$501,0)),"")</f>
        <v>MANGLER</v>
      </c>
      <c r="H332" t="str">
        <f>IFERROR(INDEX(Input!$H$2:$H$501,MATCH(331,Input!$J$2:$J$501,0)),"")</f>
        <v>Nei</v>
      </c>
    </row>
    <row r="333" spans="1:8" x14ac:dyDescent="0.35">
      <c r="A333" t="str">
        <f>IFERROR(INDEX(Input!$A$2:$A$501,MATCH(332,Input!$J$2:$J$501,0)),"")</f>
        <v>Materialformer</v>
      </c>
      <c r="B333" t="str">
        <f>IFERROR(INDEX(Input!$B$2:$B$501,MATCH(332,Input!$J$2:$J$501,0)),"")</f>
        <v>Ball</v>
      </c>
      <c r="C333" t="str">
        <f>IFERROR(INDEX(Input!$C$2:$C$501,MATCH(332,Input!$J$2:$J$501,0)),"")</f>
        <v>Normal</v>
      </c>
      <c r="D333">
        <f>IFERROR(INDEX(Input!$D$2:$D$501,MATCH(332,Input!$J$2:$J$501,0)),"")</f>
        <v>1</v>
      </c>
      <c r="E333" s="3" t="str">
        <f>IFERROR(INDEX(Input!$E$2:$E$501,MATCH(332,Input!$J$2:$J$501,0)),"")</f>
        <v>Nei</v>
      </c>
      <c r="F333" t="str">
        <f>IFERROR(INDEX(Input!$F$2:$F$501,MATCH(332,Input!$J$2:$J$501,0)),"")</f>
        <v>Ja</v>
      </c>
      <c r="G333" s="3" t="str">
        <f>IFERROR(INDEX(Input!$G$2:$G$501,MATCH(332,Input!$J$2:$J$501,0)),"")</f>
        <v>MANGLER</v>
      </c>
      <c r="H333" t="str">
        <f>IFERROR(INDEX(Input!$H$2:$H$501,MATCH(332,Input!$J$2:$J$501,0)),"")</f>
        <v>Nei</v>
      </c>
    </row>
    <row r="334" spans="1:8" x14ac:dyDescent="0.35">
      <c r="A334" t="str">
        <f>IFERROR(INDEX(Input!$A$2:$A$501,MATCH(333,Input!$J$2:$J$501,0)),"")</f>
        <v>Materialformer</v>
      </c>
      <c r="B334" t="str">
        <f>IFERROR(INDEX(Input!$B$2:$B$501,MATCH(333,Input!$J$2:$J$501,0)),"")</f>
        <v>Ball</v>
      </c>
      <c r="C334" t="str">
        <f>IFERROR(INDEX(Input!$C$2:$C$501,MATCH(333,Input!$J$2:$J$501,0)),"")</f>
        <v>Large</v>
      </c>
      <c r="D334">
        <f>IFERROR(INDEX(Input!$D$2:$D$501,MATCH(333,Input!$J$2:$J$501,0)),"")</f>
        <v>0</v>
      </c>
      <c r="E334" s="3" t="str">
        <f>IFERROR(INDEX(Input!$E$2:$E$501,MATCH(333,Input!$J$2:$J$501,0)),"")</f>
        <v>Nei</v>
      </c>
      <c r="F334" t="str">
        <f>IFERROR(INDEX(Input!$F$2:$F$501,MATCH(333,Input!$J$2:$J$501,0)),"")</f>
        <v>Nei</v>
      </c>
      <c r="G334" s="3" t="str">
        <f>IFERROR(INDEX(Input!$G$2:$G$501,MATCH(333,Input!$J$2:$J$501,0)),"")</f>
        <v>MANGLER</v>
      </c>
      <c r="H334" t="str">
        <f>IFERROR(INDEX(Input!$H$2:$H$501,MATCH(333,Input!$J$2:$J$501,0)),"")</f>
        <v>Nei</v>
      </c>
    </row>
    <row r="335" spans="1:8" x14ac:dyDescent="0.35">
      <c r="A335" t="str">
        <f>IFERROR(INDEX(Input!$A$2:$A$501,MATCH(334,Input!$J$2:$J$501,0)),"")</f>
        <v>Materialformer</v>
      </c>
      <c r="B335" t="str">
        <f>IFERROR(INDEX(Input!$B$2:$B$501,MATCH(334,Input!$J$2:$J$501,0)),"")</f>
        <v>Ball</v>
      </c>
      <c r="C335" t="str">
        <f>IFERROR(INDEX(Input!$C$2:$C$501,MATCH(334,Input!$J$2:$J$501,0)),"")</f>
        <v>Huge</v>
      </c>
      <c r="D335">
        <f>IFERROR(INDEX(Input!$D$2:$D$501,MATCH(334,Input!$J$2:$J$501,0)),"")</f>
        <v>0</v>
      </c>
      <c r="E335" s="3" t="str">
        <f>IFERROR(INDEX(Input!$E$2:$E$501,MATCH(334,Input!$J$2:$J$501,0)),"")</f>
        <v>Nei</v>
      </c>
      <c r="F335" t="str">
        <f>IFERROR(INDEX(Input!$F$2:$F$501,MATCH(334,Input!$J$2:$J$501,0)),"")</f>
        <v>Nei</v>
      </c>
      <c r="G335" s="3" t="str">
        <f>IFERROR(INDEX(Input!$G$2:$G$501,MATCH(334,Input!$J$2:$J$501,0)),"")</f>
        <v xml:space="preserve">MANGLER </v>
      </c>
      <c r="H335" t="str">
        <f>IFERROR(INDEX(Input!$H$2:$H$501,MATCH(334,Input!$J$2:$J$501,0)),"")</f>
        <v>Nei</v>
      </c>
    </row>
    <row r="336" spans="1:8" x14ac:dyDescent="0.35">
      <c r="A336" t="str">
        <f>IFERROR(INDEX(Input!$A$2:$A$501,MATCH(335,Input!$J$2:$J$501,0)),"")</f>
        <v>Materialformer</v>
      </c>
      <c r="B336" t="str">
        <f>IFERROR(INDEX(Input!$B$2:$B$501,MATCH(335,Input!$J$2:$J$501,0)),"")</f>
        <v>Bearing</v>
      </c>
      <c r="C336" t="str">
        <f>IFERROR(INDEX(Input!$C$2:$C$501,MATCH(335,Input!$J$2:$J$501,0)),"")</f>
        <v>Tiny</v>
      </c>
      <c r="D336">
        <f>IFERROR(INDEX(Input!$D$2:$D$501,MATCH(335,Input!$J$2:$J$501,0)),"")</f>
        <v>0</v>
      </c>
      <c r="E336" s="3" t="str">
        <f>IFERROR(INDEX(Input!$E$2:$E$501,MATCH(335,Input!$J$2:$J$501,0)),"")</f>
        <v>Skal Ikke ha</v>
      </c>
      <c r="F336" t="str">
        <f>IFERROR(INDEX(Input!$F$2:$F$501,MATCH(335,Input!$J$2:$J$501,0)),"")</f>
        <v>Nei</v>
      </c>
      <c r="G336" s="3" t="str">
        <f>IFERROR(INDEX(Input!$G$2:$G$501,MATCH(335,Input!$J$2:$J$501,0)),"")</f>
        <v>MANGLER</v>
      </c>
      <c r="H336" t="str">
        <f>IFERROR(INDEX(Input!$H$2:$H$501,MATCH(335,Input!$J$2:$J$501,0)),"")</f>
        <v>Nei</v>
      </c>
    </row>
    <row r="337" spans="1:8" x14ac:dyDescent="0.35">
      <c r="A337" t="str">
        <f>IFERROR(INDEX(Input!$A$2:$A$501,MATCH(336,Input!$J$2:$J$501,0)),"")</f>
        <v>Materialformer</v>
      </c>
      <c r="B337" t="str">
        <f>IFERROR(INDEX(Input!$B$2:$B$501,MATCH(336,Input!$J$2:$J$501,0)),"")</f>
        <v>Bearing</v>
      </c>
      <c r="C337" t="str">
        <f>IFERROR(INDEX(Input!$C$2:$C$501,MATCH(336,Input!$J$2:$J$501,0)),"")</f>
        <v>Small</v>
      </c>
      <c r="D337">
        <f>IFERROR(INDEX(Input!$D$2:$D$501,MATCH(336,Input!$J$2:$J$501,0)),"")</f>
        <v>0</v>
      </c>
      <c r="E337" s="3" t="str">
        <f>IFERROR(INDEX(Input!$E$2:$E$501,MATCH(336,Input!$J$2:$J$501,0)),"")</f>
        <v>Skal Ikke ha</v>
      </c>
      <c r="F337" t="str">
        <f>IFERROR(INDEX(Input!$F$2:$F$501,MATCH(336,Input!$J$2:$J$501,0)),"")</f>
        <v>Nei</v>
      </c>
      <c r="G337" s="3" t="str">
        <f>IFERROR(INDEX(Input!$G$2:$G$501,MATCH(336,Input!$J$2:$J$501,0)),"")</f>
        <v>MANGLER</v>
      </c>
      <c r="H337" t="str">
        <f>IFERROR(INDEX(Input!$H$2:$H$501,MATCH(336,Input!$J$2:$J$501,0)),"")</f>
        <v>Nei</v>
      </c>
    </row>
    <row r="338" spans="1:8" x14ac:dyDescent="0.35">
      <c r="A338" t="str">
        <f>IFERROR(INDEX(Input!$A$2:$A$501,MATCH(337,Input!$J$2:$J$501,0)),"")</f>
        <v>Materialformer</v>
      </c>
      <c r="B338" t="str">
        <f>IFERROR(INDEX(Input!$B$2:$B$501,MATCH(337,Input!$J$2:$J$501,0)),"")</f>
        <v>Bearing</v>
      </c>
      <c r="C338" t="str">
        <f>IFERROR(INDEX(Input!$C$2:$C$501,MATCH(337,Input!$J$2:$J$501,0)),"")</f>
        <v>Normal</v>
      </c>
      <c r="D338">
        <f>IFERROR(INDEX(Input!$D$2:$D$501,MATCH(337,Input!$J$2:$J$501,0)),"")</f>
        <v>1</v>
      </c>
      <c r="E338" s="3" t="str">
        <f>IFERROR(INDEX(Input!$E$2:$E$501,MATCH(337,Input!$J$2:$J$501,0)),"")</f>
        <v>Skal Ikke ha</v>
      </c>
      <c r="F338" t="str">
        <f>IFERROR(INDEX(Input!$F$2:$F$501,MATCH(337,Input!$J$2:$J$501,0)),"")</f>
        <v>Ja</v>
      </c>
      <c r="G338" s="3" t="str">
        <f>IFERROR(INDEX(Input!$G$2:$G$501,MATCH(337,Input!$J$2:$J$501,0)),"")</f>
        <v>MANGLER</v>
      </c>
      <c r="H338" t="str">
        <f>IFERROR(INDEX(Input!$H$2:$H$501,MATCH(337,Input!$J$2:$J$501,0)),"")</f>
        <v>Nei</v>
      </c>
    </row>
    <row r="339" spans="1:8" x14ac:dyDescent="0.35">
      <c r="A339" t="str">
        <f>IFERROR(INDEX(Input!$A$2:$A$501,MATCH(338,Input!$J$2:$J$501,0)),"")</f>
        <v>Materialformer</v>
      </c>
      <c r="B339" t="str">
        <f>IFERROR(INDEX(Input!$B$2:$B$501,MATCH(338,Input!$J$2:$J$501,0)),"")</f>
        <v>Bearing</v>
      </c>
      <c r="C339" t="str">
        <f>IFERROR(INDEX(Input!$C$2:$C$501,MATCH(338,Input!$J$2:$J$501,0)),"")</f>
        <v>Large</v>
      </c>
      <c r="D339">
        <f>IFERROR(INDEX(Input!$D$2:$D$501,MATCH(338,Input!$J$2:$J$501,0)),"")</f>
        <v>0</v>
      </c>
      <c r="E339" s="3" t="str">
        <f>IFERROR(INDEX(Input!$E$2:$E$501,MATCH(338,Input!$J$2:$J$501,0)),"")</f>
        <v>Skal Ikke ha</v>
      </c>
      <c r="F339" t="str">
        <f>IFERROR(INDEX(Input!$F$2:$F$501,MATCH(338,Input!$J$2:$J$501,0)),"")</f>
        <v>Nei</v>
      </c>
      <c r="G339" s="3" t="str">
        <f>IFERROR(INDEX(Input!$G$2:$G$501,MATCH(338,Input!$J$2:$J$501,0)),"")</f>
        <v>MANGLER</v>
      </c>
      <c r="H339" t="str">
        <f>IFERROR(INDEX(Input!$H$2:$H$501,MATCH(338,Input!$J$2:$J$501,0)),"")</f>
        <v>Nei</v>
      </c>
    </row>
    <row r="340" spans="1:8" x14ac:dyDescent="0.35">
      <c r="A340" t="str">
        <f>IFERROR(INDEX(Input!$A$2:$A$501,MATCH(339,Input!$J$2:$J$501,0)),"")</f>
        <v>Materialformer</v>
      </c>
      <c r="B340" t="str">
        <f>IFERROR(INDEX(Input!$B$2:$B$501,MATCH(339,Input!$J$2:$J$501,0)),"")</f>
        <v>Bearing</v>
      </c>
      <c r="C340" t="str">
        <f>IFERROR(INDEX(Input!$C$2:$C$501,MATCH(339,Input!$J$2:$J$501,0)),"")</f>
        <v>Huge</v>
      </c>
      <c r="D340">
        <f>IFERROR(INDEX(Input!$D$2:$D$501,MATCH(339,Input!$J$2:$J$501,0)),"")</f>
        <v>0</v>
      </c>
      <c r="E340" s="3" t="str">
        <f>IFERROR(INDEX(Input!$E$2:$E$501,MATCH(339,Input!$J$2:$J$501,0)),"")</f>
        <v>Skal Ikke ha</v>
      </c>
      <c r="F340" t="str">
        <f>IFERROR(INDEX(Input!$F$2:$F$501,MATCH(339,Input!$J$2:$J$501,0)),"")</f>
        <v>Nei</v>
      </c>
      <c r="G340" s="3" t="str">
        <f>IFERROR(INDEX(Input!$G$2:$G$501,MATCH(339,Input!$J$2:$J$501,0)),"")</f>
        <v>MANGLER</v>
      </c>
      <c r="H340" t="str">
        <f>IFERROR(INDEX(Input!$H$2:$H$501,MATCH(339,Input!$J$2:$J$501,0)),"")</f>
        <v>Nei</v>
      </c>
    </row>
    <row r="341" spans="1:8" x14ac:dyDescent="0.35">
      <c r="A341" t="str">
        <f>IFERROR(INDEX(Input!$A$2:$A$501,MATCH(340,Input!$J$2:$J$501,0)),"")</f>
        <v>Materialformer</v>
      </c>
      <c r="B341" t="str">
        <f>IFERROR(INDEX(Input!$B$2:$B$501,MATCH(340,Input!$J$2:$J$501,0)),"")</f>
        <v>Bolt</v>
      </c>
      <c r="C341" t="str">
        <f>IFERROR(INDEX(Input!$C$2:$C$501,MATCH(340,Input!$J$2:$J$501,0)),"")</f>
        <v>Tiny</v>
      </c>
      <c r="D341">
        <f>IFERROR(INDEX(Input!$D$2:$D$501,MATCH(340,Input!$J$2:$J$501,0)),"")</f>
        <v>0</v>
      </c>
      <c r="E341" s="3" t="str">
        <f>IFERROR(INDEX(Input!$E$2:$E$501,MATCH(340,Input!$J$2:$J$501,0)),"")</f>
        <v>Skal Ikke ha</v>
      </c>
      <c r="F341" t="str">
        <f>IFERROR(INDEX(Input!$F$2:$F$501,MATCH(340,Input!$J$2:$J$501,0)),"")</f>
        <v>Nei</v>
      </c>
      <c r="G341" s="3" t="str">
        <f>IFERROR(INDEX(Input!$G$2:$G$501,MATCH(340,Input!$J$2:$J$501,0)),"")</f>
        <v>MANGLER</v>
      </c>
      <c r="H341" t="str">
        <f>IFERROR(INDEX(Input!$H$2:$H$501,MATCH(340,Input!$J$2:$J$501,0)),"")</f>
        <v>Nei</v>
      </c>
    </row>
    <row r="342" spans="1:8" x14ac:dyDescent="0.35">
      <c r="A342" t="str">
        <f>IFERROR(INDEX(Input!$A$2:$A$501,MATCH(341,Input!$J$2:$J$501,0)),"")</f>
        <v>Materialformer</v>
      </c>
      <c r="B342" t="str">
        <f>IFERROR(INDEX(Input!$B$2:$B$501,MATCH(341,Input!$J$2:$J$501,0)),"")</f>
        <v>Bolt</v>
      </c>
      <c r="C342" t="str">
        <f>IFERROR(INDEX(Input!$C$2:$C$501,MATCH(341,Input!$J$2:$J$501,0)),"")</f>
        <v>Small</v>
      </c>
      <c r="D342">
        <f>IFERROR(INDEX(Input!$D$2:$D$501,MATCH(341,Input!$J$2:$J$501,0)),"")</f>
        <v>0</v>
      </c>
      <c r="E342" s="3" t="str">
        <f>IFERROR(INDEX(Input!$E$2:$E$501,MATCH(341,Input!$J$2:$J$501,0)),"")</f>
        <v>Skal Ikke ha</v>
      </c>
      <c r="F342" t="str">
        <f>IFERROR(INDEX(Input!$F$2:$F$501,MATCH(341,Input!$J$2:$J$501,0)),"")</f>
        <v>Nei</v>
      </c>
      <c r="G342" s="3" t="str">
        <f>IFERROR(INDEX(Input!$G$2:$G$501,MATCH(341,Input!$J$2:$J$501,0)),"")</f>
        <v>MANGLER</v>
      </c>
      <c r="H342" t="str">
        <f>IFERROR(INDEX(Input!$H$2:$H$501,MATCH(341,Input!$J$2:$J$501,0)),"")</f>
        <v>Nei</v>
      </c>
    </row>
    <row r="343" spans="1:8" x14ac:dyDescent="0.35">
      <c r="A343" t="str">
        <f>IFERROR(INDEX(Input!$A$2:$A$501,MATCH(342,Input!$J$2:$J$501,0)),"")</f>
        <v>Materialformer</v>
      </c>
      <c r="B343" t="str">
        <f>IFERROR(INDEX(Input!$B$2:$B$501,MATCH(342,Input!$J$2:$J$501,0)),"")</f>
        <v>Bolt</v>
      </c>
      <c r="C343" t="str">
        <f>IFERROR(INDEX(Input!$C$2:$C$501,MATCH(342,Input!$J$2:$J$501,0)),"")</f>
        <v>Normal</v>
      </c>
      <c r="D343">
        <f>IFERROR(INDEX(Input!$D$2:$D$501,MATCH(342,Input!$J$2:$J$501,0)),"")</f>
        <v>3</v>
      </c>
      <c r="E343" s="3" t="str">
        <f>IFERROR(INDEX(Input!$E$2:$E$501,MATCH(342,Input!$J$2:$J$501,0)),"")</f>
        <v>Skal Ikke ha</v>
      </c>
      <c r="F343" t="str">
        <f>IFERROR(INDEX(Input!$F$2:$F$501,MATCH(342,Input!$J$2:$J$501,0)),"")</f>
        <v>Ja</v>
      </c>
      <c r="G343" s="3" t="str">
        <f>IFERROR(INDEX(Input!$G$2:$G$501,MATCH(342,Input!$J$2:$J$501,0)),"")</f>
        <v>MANGLER</v>
      </c>
      <c r="H343" t="str">
        <f>IFERROR(INDEX(Input!$H$2:$H$501,MATCH(342,Input!$J$2:$J$501,0)),"")</f>
        <v>Nei</v>
      </c>
    </row>
    <row r="344" spans="1:8" x14ac:dyDescent="0.35">
      <c r="A344" t="str">
        <f>IFERROR(INDEX(Input!$A$2:$A$501,MATCH(343,Input!$J$2:$J$501,0)),"")</f>
        <v>Materialformer</v>
      </c>
      <c r="B344" t="str">
        <f>IFERROR(INDEX(Input!$B$2:$B$501,MATCH(343,Input!$J$2:$J$501,0)),"")</f>
        <v>Bolt</v>
      </c>
      <c r="C344" t="str">
        <f>IFERROR(INDEX(Input!$C$2:$C$501,MATCH(343,Input!$J$2:$J$501,0)),"")</f>
        <v>Large</v>
      </c>
      <c r="D344">
        <f>IFERROR(INDEX(Input!$D$2:$D$501,MATCH(343,Input!$J$2:$J$501,0)),"")</f>
        <v>0</v>
      </c>
      <c r="E344" s="3" t="str">
        <f>IFERROR(INDEX(Input!$E$2:$E$501,MATCH(343,Input!$J$2:$J$501,0)),"")</f>
        <v>Skal Ikke ha</v>
      </c>
      <c r="F344" t="str">
        <f>IFERROR(INDEX(Input!$F$2:$F$501,MATCH(343,Input!$J$2:$J$501,0)),"")</f>
        <v>Nei</v>
      </c>
      <c r="G344" s="3" t="str">
        <f>IFERROR(INDEX(Input!$G$2:$G$501,MATCH(343,Input!$J$2:$J$501,0)),"")</f>
        <v>MANGLER</v>
      </c>
      <c r="H344" t="str">
        <f>IFERROR(INDEX(Input!$H$2:$H$501,MATCH(343,Input!$J$2:$J$501,0)),"")</f>
        <v>Nei</v>
      </c>
    </row>
    <row r="345" spans="1:8" x14ac:dyDescent="0.35">
      <c r="A345" t="str">
        <f>IFERROR(INDEX(Input!$A$2:$A$501,MATCH(344,Input!$J$2:$J$501,0)),"")</f>
        <v>Materialformer</v>
      </c>
      <c r="B345" t="str">
        <f>IFERROR(INDEX(Input!$B$2:$B$501,MATCH(344,Input!$J$2:$J$501,0)),"")</f>
        <v>Bolt</v>
      </c>
      <c r="C345" t="str">
        <f>IFERROR(INDEX(Input!$C$2:$C$501,MATCH(344,Input!$J$2:$J$501,0)),"")</f>
        <v>Huge</v>
      </c>
      <c r="D345">
        <f>IFERROR(INDEX(Input!$D$2:$D$501,MATCH(344,Input!$J$2:$J$501,0)),"")</f>
        <v>0</v>
      </c>
      <c r="E345" s="3" t="str">
        <f>IFERROR(INDEX(Input!$E$2:$E$501,MATCH(344,Input!$J$2:$J$501,0)),"")</f>
        <v>Skal Ikke ha</v>
      </c>
      <c r="F345" t="str">
        <f>IFERROR(INDEX(Input!$F$2:$F$501,MATCH(344,Input!$J$2:$J$501,0)),"")</f>
        <v>Nei</v>
      </c>
      <c r="G345" s="3" t="str">
        <f>IFERROR(INDEX(Input!$G$2:$G$501,MATCH(344,Input!$J$2:$J$501,0)),"")</f>
        <v>MANGLER</v>
      </c>
      <c r="H345" t="str">
        <f>IFERROR(INDEX(Input!$H$2:$H$501,MATCH(344,Input!$J$2:$J$501,0)),"")</f>
        <v>Nei</v>
      </c>
    </row>
    <row r="346" spans="1:8" x14ac:dyDescent="0.35">
      <c r="A346" t="str">
        <f>IFERROR(INDEX(Input!$A$2:$A$501,MATCH(345,Input!$J$2:$J$501,0)),"")</f>
        <v>Tool components</v>
      </c>
      <c r="B346" t="str">
        <f>IFERROR(INDEX(Input!$B$2:$B$501,MATCH(345,Input!$J$2:$J$501,0)),"")</f>
        <v>Buzz Saw Head</v>
      </c>
      <c r="C346" t="str">
        <f>IFERROR(INDEX(Input!$C$2:$C$501,MATCH(345,Input!$J$2:$J$501,0)),"")</f>
        <v>Standard</v>
      </c>
      <c r="D346">
        <f>IFERROR(INDEX(Input!$D$2:$D$501,MATCH(345,Input!$J$2:$J$501,0)),"")</f>
        <v>2</v>
      </c>
      <c r="E346" s="3" t="str">
        <f>IFERROR(INDEX(Input!$E$2:$E$501,MATCH(345,Input!$J$2:$J$501,0)),"")</f>
        <v>Nei</v>
      </c>
      <c r="F346" t="str">
        <f>IFERROR(INDEX(Input!$F$2:$F$501,MATCH(345,Input!$J$2:$J$501,0)),"")</f>
        <v>Ja</v>
      </c>
      <c r="G346" s="3" t="str">
        <f>IFERROR(INDEX(Input!$G$2:$G$501,MATCH(345,Input!$J$2:$J$501,0)),"")</f>
        <v>MANGLER</v>
      </c>
      <c r="H346" t="str">
        <f>IFERROR(INDEX(Input!$H$2:$H$501,MATCH(345,Input!$J$2:$J$501,0)),"")</f>
        <v>Nei</v>
      </c>
    </row>
    <row r="347" spans="1:8" x14ac:dyDescent="0.35">
      <c r="A347" t="str">
        <f>IFERROR(INDEX(Input!$A$2:$A$501,MATCH(346,Input!$J$2:$J$501,0)),"")</f>
        <v>Tool components</v>
      </c>
      <c r="B347" t="str">
        <f>IFERROR(INDEX(Input!$B$2:$B$501,MATCH(346,Input!$J$2:$J$501,0)),"")</f>
        <v>Chainsaw Head</v>
      </c>
      <c r="C347" t="str">
        <f>IFERROR(INDEX(Input!$C$2:$C$501,MATCH(346,Input!$J$2:$J$501,0)),"")</f>
        <v>Standard</v>
      </c>
      <c r="D347">
        <f>IFERROR(INDEX(Input!$D$2:$D$501,MATCH(346,Input!$J$2:$J$501,0)),"")</f>
        <v>2</v>
      </c>
      <c r="E347" s="3" t="str">
        <f>IFERROR(INDEX(Input!$E$2:$E$501,MATCH(346,Input!$J$2:$J$501,0)),"")</f>
        <v>Nei</v>
      </c>
      <c r="F347" t="str">
        <f>IFERROR(INDEX(Input!$F$2:$F$501,MATCH(346,Input!$J$2:$J$501,0)),"")</f>
        <v>Ja</v>
      </c>
      <c r="G347" s="3" t="str">
        <f>IFERROR(INDEX(Input!$G$2:$G$501,MATCH(346,Input!$J$2:$J$501,0)),"")</f>
        <v>MANGLER</v>
      </c>
      <c r="H347" t="str">
        <f>IFERROR(INDEX(Input!$H$2:$H$501,MATCH(346,Input!$J$2:$J$501,0)),"")</f>
        <v>Nei</v>
      </c>
    </row>
    <row r="348" spans="1:8" x14ac:dyDescent="0.35">
      <c r="A348" t="str">
        <f>IFERROR(INDEX(Input!$A$2:$A$501,MATCH(347,Input!$J$2:$J$501,0)),"")</f>
        <v>Tool components</v>
      </c>
      <c r="B348" t="str">
        <f>IFERROR(INDEX(Input!$B$2:$B$501,MATCH(347,Input!$J$2:$J$501,0)),"")</f>
        <v>Chisel Head</v>
      </c>
      <c r="C348" t="str">
        <f>IFERROR(INDEX(Input!$C$2:$C$501,MATCH(347,Input!$J$2:$J$501,0)),"")</f>
        <v>Standard</v>
      </c>
      <c r="D348">
        <f>IFERROR(INDEX(Input!$D$2:$D$501,MATCH(347,Input!$J$2:$J$501,0)),"")</f>
        <v>0</v>
      </c>
      <c r="E348" s="3" t="str">
        <f>IFERROR(INDEX(Input!$E$2:$E$501,MATCH(347,Input!$J$2:$J$501,0)),"")</f>
        <v>Nei</v>
      </c>
      <c r="F348" t="str">
        <f>IFERROR(INDEX(Input!$F$2:$F$501,MATCH(347,Input!$J$2:$J$501,0)),"")</f>
        <v>Nei</v>
      </c>
      <c r="G348" s="3" t="str">
        <f>IFERROR(INDEX(Input!$G$2:$G$501,MATCH(347,Input!$J$2:$J$501,0)),"")</f>
        <v>MANGLER</v>
      </c>
      <c r="H348" t="str">
        <f>IFERROR(INDEX(Input!$H$2:$H$501,MATCH(347,Input!$J$2:$J$501,0)),"")</f>
        <v>Nei</v>
      </c>
    </row>
    <row r="349" spans="1:8" x14ac:dyDescent="0.35">
      <c r="A349" t="str">
        <f>IFERROR(INDEX(Input!$A$2:$A$501,MATCH(348,Input!$J$2:$J$501,0)),"")</f>
        <v>Materialformer</v>
      </c>
      <c r="B349" t="str">
        <f>IFERROR(INDEX(Input!$B$2:$B$501,MATCH(348,Input!$J$2:$J$501,0)),"")</f>
        <v>Coil</v>
      </c>
      <c r="C349" t="str">
        <f>IFERROR(INDEX(Input!$C$2:$C$501,MATCH(348,Input!$J$2:$J$501,0)),"")</f>
        <v>Standard</v>
      </c>
      <c r="D349">
        <f>IFERROR(INDEX(Input!$D$2:$D$501,MATCH(348,Input!$J$2:$J$501,0)),"")</f>
        <v>0</v>
      </c>
      <c r="E349" s="3" t="str">
        <f>IFERROR(INDEX(Input!$E$2:$E$501,MATCH(348,Input!$J$2:$J$501,0)),"")</f>
        <v>Skal Ikke ha</v>
      </c>
      <c r="F349" t="str">
        <f>IFERROR(INDEX(Input!$F$2:$F$501,MATCH(348,Input!$J$2:$J$501,0)),"")</f>
        <v>Nei</v>
      </c>
      <c r="G349" s="3" t="str">
        <f>IFERROR(INDEX(Input!$G$2:$G$501,MATCH(348,Input!$J$2:$J$501,0)),"")</f>
        <v>MANGLER</v>
      </c>
      <c r="H349" t="str">
        <f>IFERROR(INDEX(Input!$H$2:$H$501,MATCH(348,Input!$J$2:$J$501,0)),"")</f>
        <v>Nei</v>
      </c>
    </row>
    <row r="350" spans="1:8" x14ac:dyDescent="0.35">
      <c r="A350" t="str">
        <f>IFERROR(INDEX(Input!$A$2:$A$501,MATCH(349,Input!$J$2:$J$501,0)),"")</f>
        <v>Machine components</v>
      </c>
      <c r="B350" t="str">
        <f>IFERROR(INDEX(Input!$B$2:$B$501,MATCH(349,Input!$J$2:$J$501,0)),"")</f>
        <v>Conveyor</v>
      </c>
      <c r="C350" t="str">
        <f>IFERROR(INDEX(Input!$C$2:$C$501,MATCH(349,Input!$J$2:$J$501,0)),"")</f>
        <v>Standard</v>
      </c>
      <c r="D350">
        <f>IFERROR(INDEX(Input!$D$2:$D$501,MATCH(349,Input!$J$2:$J$501,0)),"")</f>
        <v>0</v>
      </c>
      <c r="E350" s="3" t="str">
        <f>IFERROR(INDEX(Input!$E$2:$E$501,MATCH(349,Input!$J$2:$J$501,0)),"")</f>
        <v>Skal Ikke ha</v>
      </c>
      <c r="F350" t="str">
        <f>IFERROR(INDEX(Input!$F$2:$F$501,MATCH(349,Input!$J$2:$J$501,0)),"")</f>
        <v>Nei</v>
      </c>
      <c r="G350" s="3" t="str">
        <f>IFERROR(INDEX(Input!$G$2:$G$501,MATCH(349,Input!$J$2:$J$501,0)),"")</f>
        <v>MANGLER</v>
      </c>
      <c r="H350" t="str">
        <f>IFERROR(INDEX(Input!$H$2:$H$501,MATCH(349,Input!$J$2:$J$501,0)),"")</f>
        <v>Nei</v>
      </c>
    </row>
    <row r="351" spans="1:8" x14ac:dyDescent="0.35">
      <c r="A351" t="str">
        <f>IFERROR(INDEX(Input!$A$2:$A$501,MATCH(350,Input!$J$2:$J$501,0)),"")</f>
        <v>Tool components</v>
      </c>
      <c r="B351" t="str">
        <f>IFERROR(INDEX(Input!$B$2:$B$501,MATCH(350,Input!$J$2:$J$501,0)),"")</f>
        <v>Crowbar Head</v>
      </c>
      <c r="C351" t="str">
        <f>IFERROR(INDEX(Input!$C$2:$C$501,MATCH(350,Input!$J$2:$J$501,0)),"")</f>
        <v>Standard</v>
      </c>
      <c r="D351">
        <f>IFERROR(INDEX(Input!$D$2:$D$501,MATCH(350,Input!$J$2:$J$501,0)),"")</f>
        <v>0</v>
      </c>
      <c r="E351" s="3" t="str">
        <f>IFERROR(INDEX(Input!$E$2:$E$501,MATCH(350,Input!$J$2:$J$501,0)),"")</f>
        <v>Nei</v>
      </c>
      <c r="F351" t="str">
        <f>IFERROR(INDEX(Input!$F$2:$F$501,MATCH(350,Input!$J$2:$J$501,0)),"")</f>
        <v>Nei</v>
      </c>
      <c r="G351" s="3" t="str">
        <f>IFERROR(INDEX(Input!$G$2:$G$501,MATCH(350,Input!$J$2:$J$501,0)),"")</f>
        <v>MANGLER</v>
      </c>
      <c r="H351" t="str">
        <f>IFERROR(INDEX(Input!$H$2:$H$501,MATCH(350,Input!$J$2:$J$501,0)),"")</f>
        <v>Nei</v>
      </c>
    </row>
    <row r="352" spans="1:8" x14ac:dyDescent="0.35">
      <c r="A352" t="str">
        <f>IFERROR(INDEX(Input!$A$2:$A$501,MATCH(351,Input!$J$2:$J$501,0)),"")</f>
        <v>Ore processing</v>
      </c>
      <c r="B352" t="str">
        <f>IFERROR(INDEX(Input!$B$2:$B$501,MATCH(351,Input!$J$2:$J$501,0)),"")</f>
        <v>Crushed Ore</v>
      </c>
      <c r="C352" t="str">
        <f>IFERROR(INDEX(Input!$C$2:$C$501,MATCH(351,Input!$J$2:$J$501,0)),"")</f>
        <v>Standard</v>
      </c>
      <c r="D352">
        <f>IFERROR(INDEX(Input!$D$2:$D$501,MATCH(351,Input!$J$2:$J$501,0)),"")</f>
        <v>2</v>
      </c>
      <c r="E352" s="3" t="str">
        <f>IFERROR(INDEX(Input!$E$2:$E$501,MATCH(351,Input!$J$2:$J$501,0)),"")</f>
        <v>Skal Ikke ha</v>
      </c>
      <c r="F352" t="str">
        <f>IFERROR(INDEX(Input!$F$2:$F$501,MATCH(351,Input!$J$2:$J$501,0)),"")</f>
        <v>Ja</v>
      </c>
      <c r="G352" s="3" t="str">
        <f>IFERROR(INDEX(Input!$G$2:$G$501,MATCH(351,Input!$J$2:$J$501,0)),"")</f>
        <v>MANGLER</v>
      </c>
      <c r="H352" t="str">
        <f>IFERROR(INDEX(Input!$H$2:$H$501,MATCH(351,Input!$J$2:$J$501,0)),"")</f>
        <v>Nei</v>
      </c>
    </row>
    <row r="353" spans="1:8" x14ac:dyDescent="0.35">
      <c r="A353" t="str">
        <f>IFERROR(INDEX(Input!$A$2:$A$501,MATCH(352,Input!$J$2:$J$501,0)),"")</f>
        <v>Tool components</v>
      </c>
      <c r="B353" t="str">
        <f>IFERROR(INDEX(Input!$B$2:$B$501,MATCH(352,Input!$J$2:$J$501,0)),"")</f>
        <v>Drill Head</v>
      </c>
      <c r="C353" t="str">
        <f>IFERROR(INDEX(Input!$C$2:$C$501,MATCH(352,Input!$J$2:$J$501,0)),"")</f>
        <v>Standard</v>
      </c>
      <c r="D353">
        <f>IFERROR(INDEX(Input!$D$2:$D$501,MATCH(352,Input!$J$2:$J$501,0)),"")</f>
        <v>2</v>
      </c>
      <c r="E353" s="3" t="str">
        <f>IFERROR(INDEX(Input!$E$2:$E$501,MATCH(352,Input!$J$2:$J$501,0)),"")</f>
        <v>Nei</v>
      </c>
      <c r="F353" t="str">
        <f>IFERROR(INDEX(Input!$F$2:$F$501,MATCH(352,Input!$J$2:$J$501,0)),"")</f>
        <v>Ja</v>
      </c>
      <c r="G353" s="3" t="str">
        <f>IFERROR(INDEX(Input!$G$2:$G$501,MATCH(352,Input!$J$2:$J$501,0)),"")</f>
        <v>MANGLER</v>
      </c>
      <c r="H353" t="str">
        <f>IFERROR(INDEX(Input!$H$2:$H$501,MATCH(352,Input!$J$2:$J$501,0)),"")</f>
        <v>Nei</v>
      </c>
    </row>
    <row r="354" spans="1:8" x14ac:dyDescent="0.35">
      <c r="A354" t="str">
        <f>IFERROR(INDEX(Input!$A$2:$A$501,MATCH(353,Input!$J$2:$J$501,0)),"")</f>
        <v>Materialformer</v>
      </c>
      <c r="B354" t="str">
        <f>IFERROR(INDEX(Input!$B$2:$B$501,MATCH(353,Input!$J$2:$J$501,0)),"")</f>
        <v>Dust Impure</v>
      </c>
      <c r="C354" t="str">
        <f>IFERROR(INDEX(Input!$C$2:$C$501,MATCH(353,Input!$J$2:$J$501,0)),"")</f>
        <v>Standard</v>
      </c>
      <c r="D354">
        <f>IFERROR(INDEX(Input!$D$2:$D$501,MATCH(353,Input!$J$2:$J$501,0)),"")</f>
        <v>2</v>
      </c>
      <c r="E354" s="3" t="str">
        <f>IFERROR(INDEX(Input!$E$2:$E$501,MATCH(353,Input!$J$2:$J$501,0)),"")</f>
        <v>Skal Ikke ha</v>
      </c>
      <c r="F354" t="str">
        <f>IFERROR(INDEX(Input!$F$2:$F$501,MATCH(353,Input!$J$2:$J$501,0)),"")</f>
        <v>Ja</v>
      </c>
      <c r="G354" s="3" t="str">
        <f>IFERROR(INDEX(Input!$G$2:$G$501,MATCH(353,Input!$J$2:$J$501,0)),"")</f>
        <v>MANGLER</v>
      </c>
      <c r="H354" t="str">
        <f>IFERROR(INDEX(Input!$H$2:$H$501,MATCH(353,Input!$J$2:$J$501,0)),"")</f>
        <v>Nei</v>
      </c>
    </row>
    <row r="355" spans="1:8" x14ac:dyDescent="0.35">
      <c r="A355" t="str">
        <f>IFERROR(INDEX(Input!$A$2:$A$501,MATCH(354,Input!$J$2:$J$501,0)),"")</f>
        <v>Materialformer</v>
      </c>
      <c r="B355" t="str">
        <f>IFERROR(INDEX(Input!$B$2:$B$501,MATCH(354,Input!$J$2:$J$501,0)),"")</f>
        <v>Dust Purified</v>
      </c>
      <c r="C355" t="str">
        <f>IFERROR(INDEX(Input!$C$2:$C$501,MATCH(354,Input!$J$2:$J$501,0)),"")</f>
        <v>Standard</v>
      </c>
      <c r="D355">
        <f>IFERROR(INDEX(Input!$D$2:$D$501,MATCH(354,Input!$J$2:$J$501,0)),"")</f>
        <v>1</v>
      </c>
      <c r="E355" s="3" t="str">
        <f>IFERROR(INDEX(Input!$E$2:$E$501,MATCH(354,Input!$J$2:$J$501,0)),"")</f>
        <v>Skal Ikke ha</v>
      </c>
      <c r="F355" t="str">
        <f>IFERROR(INDEX(Input!$F$2:$F$501,MATCH(354,Input!$J$2:$J$501,0)),"")</f>
        <v>Ja</v>
      </c>
      <c r="G355" s="3" t="str">
        <f>IFERROR(INDEX(Input!$G$2:$G$501,MATCH(354,Input!$J$2:$J$501,0)),"")</f>
        <v>MANGLER</v>
      </c>
      <c r="H355" t="str">
        <f>IFERROR(INDEX(Input!$H$2:$H$501,MATCH(354,Input!$J$2:$J$501,0)),"")</f>
        <v>Nei</v>
      </c>
    </row>
    <row r="356" spans="1:8" x14ac:dyDescent="0.35">
      <c r="A356" t="str">
        <f>IFERROR(INDEX(Input!$A$2:$A$501,MATCH(355,Input!$J$2:$J$501,0)),"")</f>
        <v>Materialformer</v>
      </c>
      <c r="B356" t="str">
        <f>IFERROR(INDEX(Input!$B$2:$B$501,MATCH(355,Input!$J$2:$J$501,0)),"")</f>
        <v>Dust</v>
      </c>
      <c r="C356" t="str">
        <f>IFERROR(INDEX(Input!$C$2:$C$501,MATCH(355,Input!$J$2:$J$501,0)),"")</f>
        <v>Tiny</v>
      </c>
      <c r="D356">
        <f>IFERROR(INDEX(Input!$D$2:$D$501,MATCH(355,Input!$J$2:$J$501,0)),"")</f>
        <v>9</v>
      </c>
      <c r="E356" s="3" t="str">
        <f>IFERROR(INDEX(Input!$E$2:$E$501,MATCH(355,Input!$J$2:$J$501,0)),"")</f>
        <v>Skal Ikke ha</v>
      </c>
      <c r="F356" t="str">
        <f>IFERROR(INDEX(Input!$F$2:$F$501,MATCH(355,Input!$J$2:$J$501,0)),"")</f>
        <v>Ja</v>
      </c>
      <c r="G356" s="3" t="str">
        <f>IFERROR(INDEX(Input!$G$2:$G$501,MATCH(355,Input!$J$2:$J$501,0)),"")</f>
        <v>MANGLER</v>
      </c>
      <c r="H356" t="str">
        <f>IFERROR(INDEX(Input!$H$2:$H$501,MATCH(355,Input!$J$2:$J$501,0)),"")</f>
        <v>Nei</v>
      </c>
    </row>
    <row r="357" spans="1:8" x14ac:dyDescent="0.35">
      <c r="A357" t="str">
        <f>IFERROR(INDEX(Input!$A$2:$A$501,MATCH(356,Input!$J$2:$J$501,0)),"")</f>
        <v>Materialformer</v>
      </c>
      <c r="B357" t="str">
        <f>IFERROR(INDEX(Input!$B$2:$B$501,MATCH(356,Input!$J$2:$J$501,0)),"")</f>
        <v>Dust</v>
      </c>
      <c r="C357" t="str">
        <f>IFERROR(INDEX(Input!$C$2:$C$501,MATCH(356,Input!$J$2:$J$501,0)),"")</f>
        <v>Small</v>
      </c>
      <c r="D357">
        <f>IFERROR(INDEX(Input!$D$2:$D$501,MATCH(356,Input!$J$2:$J$501,0)),"")</f>
        <v>5</v>
      </c>
      <c r="E357" s="3" t="str">
        <f>IFERROR(INDEX(Input!$E$2:$E$501,MATCH(356,Input!$J$2:$J$501,0)),"")</f>
        <v>Skal Ikke ha</v>
      </c>
      <c r="F357" t="str">
        <f>IFERROR(INDEX(Input!$F$2:$F$501,MATCH(356,Input!$J$2:$J$501,0)),"")</f>
        <v>Ja</v>
      </c>
      <c r="G357" s="3" t="str">
        <f>IFERROR(INDEX(Input!$G$2:$G$501,MATCH(356,Input!$J$2:$J$501,0)),"")</f>
        <v>MANGLER</v>
      </c>
      <c r="H357" t="str">
        <f>IFERROR(INDEX(Input!$H$2:$H$501,MATCH(356,Input!$J$2:$J$501,0)),"")</f>
        <v>Nei</v>
      </c>
    </row>
    <row r="358" spans="1:8" x14ac:dyDescent="0.35">
      <c r="A358" t="str">
        <f>IFERROR(INDEX(Input!$A$2:$A$501,MATCH(357,Input!$J$2:$J$501,0)),"")</f>
        <v>Materialformer</v>
      </c>
      <c r="B358" t="str">
        <f>IFERROR(INDEX(Input!$B$2:$B$501,MATCH(357,Input!$J$2:$J$501,0)),"")</f>
        <v>Dust</v>
      </c>
      <c r="C358" t="str">
        <f>IFERROR(INDEX(Input!$C$2:$C$501,MATCH(357,Input!$J$2:$J$501,0)),"")</f>
        <v>Normal</v>
      </c>
      <c r="D358">
        <f>IFERROR(INDEX(Input!$D$2:$D$501,MATCH(357,Input!$J$2:$J$501,0)),"")</f>
        <v>7</v>
      </c>
      <c r="E358" s="3" t="str">
        <f>IFERROR(INDEX(Input!$E$2:$E$501,MATCH(357,Input!$J$2:$J$501,0)),"")</f>
        <v>Skal Ikke ha</v>
      </c>
      <c r="F358" t="str">
        <f>IFERROR(INDEX(Input!$F$2:$F$501,MATCH(357,Input!$J$2:$J$501,0)),"")</f>
        <v>Ja</v>
      </c>
      <c r="G358" s="3" t="str">
        <f>IFERROR(INDEX(Input!$G$2:$G$501,MATCH(357,Input!$J$2:$J$501,0)),"")</f>
        <v>MANGLER</v>
      </c>
      <c r="H358" t="str">
        <f>IFERROR(INDEX(Input!$H$2:$H$501,MATCH(357,Input!$J$2:$J$501,0)),"")</f>
        <v>Nei</v>
      </c>
    </row>
    <row r="359" spans="1:8" x14ac:dyDescent="0.35">
      <c r="A359" t="str">
        <f>IFERROR(INDEX(Input!$A$2:$A$501,MATCH(358,Input!$J$2:$J$501,0)),"")</f>
        <v>Machine components</v>
      </c>
      <c r="B359" t="str">
        <f>IFERROR(INDEX(Input!$B$2:$B$501,MATCH(358,Input!$J$2:$J$501,0)),"")</f>
        <v>Emitter</v>
      </c>
      <c r="C359" t="str">
        <f>IFERROR(INDEX(Input!$C$2:$C$501,MATCH(358,Input!$J$2:$J$501,0)),"")</f>
        <v>Standard</v>
      </c>
      <c r="D359">
        <f>IFERROR(INDEX(Input!$D$2:$D$501,MATCH(358,Input!$J$2:$J$501,0)),"")</f>
        <v>0</v>
      </c>
      <c r="E359" s="3" t="str">
        <f>IFERROR(INDEX(Input!$E$2:$E$501,MATCH(358,Input!$J$2:$J$501,0)),"")</f>
        <v>Skal Ikke ha</v>
      </c>
      <c r="F359" t="str">
        <f>IFERROR(INDEX(Input!$F$2:$F$501,MATCH(358,Input!$J$2:$J$501,0)),"")</f>
        <v>Nei</v>
      </c>
      <c r="G359" s="3" t="str">
        <f>IFERROR(INDEX(Input!$G$2:$G$501,MATCH(358,Input!$J$2:$J$501,0)),"")</f>
        <v>MANGLER</v>
      </c>
      <c r="H359" t="str">
        <f>IFERROR(INDEX(Input!$H$2:$H$501,MATCH(358,Input!$J$2:$J$501,0)),"")</f>
        <v>Nei</v>
      </c>
    </row>
    <row r="360" spans="1:8" x14ac:dyDescent="0.35">
      <c r="A360" t="str">
        <f>IFERROR(INDEX(Input!$A$2:$A$501,MATCH(359,Input!$J$2:$J$501,0)),"")</f>
        <v>Machine components</v>
      </c>
      <c r="B360" t="str">
        <f>IFERROR(INDEX(Input!$B$2:$B$501,MATCH(359,Input!$J$2:$J$501,0)),"")</f>
        <v>Field Generator</v>
      </c>
      <c r="C360" t="str">
        <f>IFERROR(INDEX(Input!$C$2:$C$501,MATCH(359,Input!$J$2:$J$501,0)),"")</f>
        <v>Standard</v>
      </c>
      <c r="D360">
        <f>IFERROR(INDEX(Input!$D$2:$D$501,MATCH(359,Input!$J$2:$J$501,0)),"")</f>
        <v>0</v>
      </c>
      <c r="E360" s="3" t="str">
        <f>IFERROR(INDEX(Input!$E$2:$E$501,MATCH(359,Input!$J$2:$J$501,0)),"")</f>
        <v>Skal Ikke ha</v>
      </c>
      <c r="F360" t="str">
        <f>IFERROR(INDEX(Input!$F$2:$F$501,MATCH(359,Input!$J$2:$J$501,0)),"")</f>
        <v>Nei</v>
      </c>
      <c r="G360" s="3" t="str">
        <f>IFERROR(INDEX(Input!$G$2:$G$501,MATCH(359,Input!$J$2:$J$501,0)),"")</f>
        <v>MANGLER</v>
      </c>
      <c r="H360" t="str">
        <f>IFERROR(INDEX(Input!$H$2:$H$501,MATCH(359,Input!$J$2:$J$501,0)),"")</f>
        <v>Nei</v>
      </c>
    </row>
    <row r="361" spans="1:8" x14ac:dyDescent="0.35">
      <c r="A361" t="str">
        <f>IFERROR(INDEX(Input!$A$2:$A$501,MATCH(360,Input!$J$2:$J$501,0)),"")</f>
        <v>Tool components</v>
      </c>
      <c r="B361" t="str">
        <f>IFERROR(INDEX(Input!$B$2:$B$501,MATCH(360,Input!$J$2:$J$501,0)),"")</f>
        <v>File Head</v>
      </c>
      <c r="C361" t="str">
        <f>IFERROR(INDEX(Input!$C$2:$C$501,MATCH(360,Input!$J$2:$J$501,0)),"")</f>
        <v>Standard</v>
      </c>
      <c r="D361">
        <f>IFERROR(INDEX(Input!$D$2:$D$501,MATCH(360,Input!$J$2:$J$501,0)),"")</f>
        <v>0</v>
      </c>
      <c r="E361" s="3" t="str">
        <f>IFERROR(INDEX(Input!$E$2:$E$501,MATCH(360,Input!$J$2:$J$501,0)),"")</f>
        <v>Nei</v>
      </c>
      <c r="F361" t="str">
        <f>IFERROR(INDEX(Input!$F$2:$F$501,MATCH(360,Input!$J$2:$J$501,0)),"")</f>
        <v>Nei</v>
      </c>
      <c r="G361" s="3" t="str">
        <f>IFERROR(INDEX(Input!$G$2:$G$501,MATCH(360,Input!$J$2:$J$501,0)),"")</f>
        <v>MANGLER</v>
      </c>
      <c r="H361" t="str">
        <f>IFERROR(INDEX(Input!$H$2:$H$501,MATCH(360,Input!$J$2:$J$501,0)),"")</f>
        <v>Nei</v>
      </c>
    </row>
    <row r="362" spans="1:8" x14ac:dyDescent="0.35">
      <c r="A362" t="str">
        <f>IFERROR(INDEX(Input!$A$2:$A$501,MATCH(361,Input!$J$2:$J$501,0)),"")</f>
        <v>Materialformer</v>
      </c>
      <c r="B362" t="str">
        <f>IFERROR(INDEX(Input!$B$2:$B$501,MATCH(361,Input!$J$2:$J$501,0)),"")</f>
        <v>Fine Wire</v>
      </c>
      <c r="C362" t="str">
        <f>IFERROR(INDEX(Input!$C$2:$C$501,MATCH(361,Input!$J$2:$J$501,0)),"")</f>
        <v>Standerd</v>
      </c>
      <c r="D362">
        <f>IFERROR(INDEX(Input!$D$2:$D$501,MATCH(361,Input!$J$2:$J$501,0)),"")</f>
        <v>2</v>
      </c>
      <c r="E362" s="3" t="str">
        <f>IFERROR(INDEX(Input!$E$2:$E$501,MATCH(361,Input!$J$2:$J$501,0)),"")</f>
        <v>Skal Ikke ha</v>
      </c>
      <c r="F362" t="str">
        <f>IFERROR(INDEX(Input!$F$2:$F$501,MATCH(361,Input!$J$2:$J$501,0)),"")</f>
        <v>Ja</v>
      </c>
      <c r="G362" s="3" t="str">
        <f>IFERROR(INDEX(Input!$G$2:$G$501,MATCH(361,Input!$J$2:$J$501,0)),"")</f>
        <v>MANGLER</v>
      </c>
      <c r="H362" t="str">
        <f>IFERROR(INDEX(Input!$H$2:$H$501,MATCH(361,Input!$J$2:$J$501,0)),"")</f>
        <v>Nei</v>
      </c>
    </row>
    <row r="363" spans="1:8" x14ac:dyDescent="0.35">
      <c r="A363" t="str">
        <f>IFERROR(INDEX(Input!$A$2:$A$501,MATCH(362,Input!$J$2:$J$501,0)),"")</f>
        <v>Materialformer</v>
      </c>
      <c r="B363" t="str">
        <f>IFERROR(INDEX(Input!$B$2:$B$501,MATCH(362,Input!$J$2:$J$501,0)),"")</f>
        <v>Foil</v>
      </c>
      <c r="C363" t="str">
        <f>IFERROR(INDEX(Input!$C$2:$C$501,MATCH(362,Input!$J$2:$J$501,0)),"")</f>
        <v>Standerd</v>
      </c>
      <c r="D363">
        <f>IFERROR(INDEX(Input!$D$2:$D$501,MATCH(362,Input!$J$2:$J$501,0)),"")</f>
        <v>3</v>
      </c>
      <c r="E363" s="3" t="str">
        <f>IFERROR(INDEX(Input!$E$2:$E$501,MATCH(362,Input!$J$2:$J$501,0)),"")</f>
        <v>Skal Ikke ha</v>
      </c>
      <c r="F363" t="str">
        <f>IFERROR(INDEX(Input!$F$2:$F$501,MATCH(362,Input!$J$2:$J$501,0)),"")</f>
        <v>Ja</v>
      </c>
      <c r="G363" s="3" t="str">
        <f>IFERROR(INDEX(Input!$G$2:$G$501,MATCH(362,Input!$J$2:$J$501,0)),"")</f>
        <v>MANGLER</v>
      </c>
      <c r="H363" t="str">
        <f>IFERROR(INDEX(Input!$H$2:$H$501,MATCH(362,Input!$J$2:$J$501,0)),"")</f>
        <v>Nei</v>
      </c>
    </row>
    <row r="364" spans="1:8" x14ac:dyDescent="0.35">
      <c r="A364" t="str">
        <f>IFERROR(INDEX(Input!$A$2:$A$501,MATCH(363,Input!$J$2:$J$501,0)),"")</f>
        <v>Materialformer</v>
      </c>
      <c r="B364" t="str">
        <f>IFERROR(INDEX(Input!$B$2:$B$501,MATCH(363,Input!$J$2:$J$501,0)),"")</f>
        <v>Frame</v>
      </c>
      <c r="C364" t="str">
        <f>IFERROR(INDEX(Input!$C$2:$C$501,MATCH(363,Input!$J$2:$J$501,0)),"")</f>
        <v>Standerd</v>
      </c>
      <c r="D364">
        <f>IFERROR(INDEX(Input!$D$2:$D$501,MATCH(363,Input!$J$2:$J$501,0)),"")</f>
        <v>2</v>
      </c>
      <c r="E364" s="3" t="str">
        <f>IFERROR(INDEX(Input!$E$2:$E$501,MATCH(363,Input!$J$2:$J$501,0)),"")</f>
        <v>Skal Ikke ha</v>
      </c>
      <c r="F364" t="str">
        <f>IFERROR(INDEX(Input!$F$2:$F$501,MATCH(363,Input!$J$2:$J$501,0)),"")</f>
        <v>Ja</v>
      </c>
      <c r="G364" s="3" t="str">
        <f>IFERROR(INDEX(Input!$G$2:$G$501,MATCH(363,Input!$J$2:$J$501,0)),"")</f>
        <v>MANGLER</v>
      </c>
      <c r="H364" t="str">
        <f>IFERROR(INDEX(Input!$H$2:$H$501,MATCH(363,Input!$J$2:$J$501,0)),"")</f>
        <v>Ja</v>
      </c>
    </row>
    <row r="365" spans="1:8" x14ac:dyDescent="0.35">
      <c r="A365" t="str">
        <f>IFERROR(INDEX(Input!$A$2:$A$501,MATCH(364,Input!$J$2:$J$501,0)),"")</f>
        <v>Fluids</v>
      </c>
      <c r="B365" t="str">
        <f>IFERROR(INDEX(Input!$B$2:$B$501,MATCH(364,Input!$J$2:$J$501,0)),"")</f>
        <v>Gas</v>
      </c>
      <c r="C365" t="str">
        <f>IFERROR(INDEX(Input!$C$2:$C$501,MATCH(364,Input!$J$2:$J$501,0)),"")</f>
        <v>Standard</v>
      </c>
      <c r="D365">
        <f>IFERROR(INDEX(Input!$D$2:$D$501,MATCH(364,Input!$J$2:$J$501,0)),"")</f>
        <v>1</v>
      </c>
      <c r="E365" s="3" t="str">
        <f>IFERROR(INDEX(Input!$E$2:$E$501,MATCH(364,Input!$J$2:$J$501,0)),"")</f>
        <v>Skal Ikke ha</v>
      </c>
      <c r="F365" t="str">
        <f>IFERROR(INDEX(Input!$F$2:$F$501,MATCH(364,Input!$J$2:$J$501,0)),"")</f>
        <v>Ja</v>
      </c>
      <c r="G365" s="3" t="str">
        <f>IFERROR(INDEX(Input!$G$2:$G$501,MATCH(364,Input!$J$2:$J$501,0)),"")</f>
        <v>MANGLER</v>
      </c>
      <c r="H365" t="str">
        <f>IFERROR(INDEX(Input!$H$2:$H$501,MATCH(364,Input!$J$2:$J$501,0)),"")</f>
        <v>Nei</v>
      </c>
    </row>
    <row r="366" spans="1:8" x14ac:dyDescent="0.35">
      <c r="A366" t="str">
        <f>IFERROR(INDEX(Input!$A$2:$A$501,MATCH(365,Input!$J$2:$J$501,0)),"")</f>
        <v>Materialformer</v>
      </c>
      <c r="B366" t="str">
        <f>IFERROR(INDEX(Input!$B$2:$B$501,MATCH(365,Input!$J$2:$J$501,0)),"")</f>
        <v>Gear</v>
      </c>
      <c r="C366" t="str">
        <f>IFERROR(INDEX(Input!$C$2:$C$501,MATCH(365,Input!$J$2:$J$501,0)),"")</f>
        <v>Tiny</v>
      </c>
      <c r="D366">
        <f>IFERROR(INDEX(Input!$D$2:$D$501,MATCH(365,Input!$J$2:$J$501,0)),"")</f>
        <v>0</v>
      </c>
      <c r="E366" s="3" t="str">
        <f>IFERROR(INDEX(Input!$E$2:$E$501,MATCH(365,Input!$J$2:$J$501,0)),"")</f>
        <v>Nei</v>
      </c>
      <c r="F366" t="str">
        <f>IFERROR(INDEX(Input!$F$2:$F$501,MATCH(365,Input!$J$2:$J$501,0)),"")</f>
        <v>Nei</v>
      </c>
      <c r="G366" s="3" t="str">
        <f>IFERROR(INDEX(Input!$G$2:$G$501,MATCH(365,Input!$J$2:$J$501,0)),"")</f>
        <v>MANGLER</v>
      </c>
      <c r="H366" t="str">
        <f>IFERROR(INDEX(Input!$H$2:$H$501,MATCH(365,Input!$J$2:$J$501,0)),"")</f>
        <v>Nei</v>
      </c>
    </row>
    <row r="367" spans="1:8" x14ac:dyDescent="0.35">
      <c r="A367" t="str">
        <f>IFERROR(INDEX(Input!$A$2:$A$501,MATCH(366,Input!$J$2:$J$501,0)),"")</f>
        <v>Materialformer</v>
      </c>
      <c r="B367" t="str">
        <f>IFERROR(INDEX(Input!$B$2:$B$501,MATCH(366,Input!$J$2:$J$501,0)),"")</f>
        <v>Gear</v>
      </c>
      <c r="C367" t="str">
        <f>IFERROR(INDEX(Input!$C$2:$C$501,MATCH(366,Input!$J$2:$J$501,0)),"")</f>
        <v>Small</v>
      </c>
      <c r="D367">
        <f>IFERROR(INDEX(Input!$D$2:$D$501,MATCH(366,Input!$J$2:$J$501,0)),"")</f>
        <v>4</v>
      </c>
      <c r="E367" s="3" t="str">
        <f>IFERROR(INDEX(Input!$E$2:$E$501,MATCH(366,Input!$J$2:$J$501,0)),"")</f>
        <v>Ja</v>
      </c>
      <c r="F367" t="str">
        <f>IFERROR(INDEX(Input!$F$2:$F$501,MATCH(366,Input!$J$2:$J$501,0)),"")</f>
        <v>Ja</v>
      </c>
      <c r="G367" s="3" t="str">
        <f>IFERROR(INDEX(Input!$G$2:$G$501,MATCH(366,Input!$J$2:$J$501,0)),"")</f>
        <v>MANGLER</v>
      </c>
      <c r="H367" t="str">
        <f>IFERROR(INDEX(Input!$H$2:$H$501,MATCH(366,Input!$J$2:$J$501,0)),"")</f>
        <v>Nei</v>
      </c>
    </row>
    <row r="368" spans="1:8" x14ac:dyDescent="0.35">
      <c r="A368" t="str">
        <f>IFERROR(INDEX(Input!$A$2:$A$501,MATCH(367,Input!$J$2:$J$501,0)),"")</f>
        <v>Materialformer</v>
      </c>
      <c r="B368" t="str">
        <f>IFERROR(INDEX(Input!$B$2:$B$501,MATCH(367,Input!$J$2:$J$501,0)),"")</f>
        <v>Gear</v>
      </c>
      <c r="C368" t="str">
        <f>IFERROR(INDEX(Input!$C$2:$C$501,MATCH(367,Input!$J$2:$J$501,0)),"")</f>
        <v>Normal</v>
      </c>
      <c r="D368">
        <f>IFERROR(INDEX(Input!$D$2:$D$501,MATCH(367,Input!$J$2:$J$501,0)),"")</f>
        <v>5</v>
      </c>
      <c r="E368" s="3" t="str">
        <f>IFERROR(INDEX(Input!$E$2:$E$501,MATCH(367,Input!$J$2:$J$501,0)),"")</f>
        <v>Ja</v>
      </c>
      <c r="F368" t="str">
        <f>IFERROR(INDEX(Input!$F$2:$F$501,MATCH(367,Input!$J$2:$J$501,0)),"")</f>
        <v>Ja</v>
      </c>
      <c r="G368" s="3" t="str">
        <f>IFERROR(INDEX(Input!$G$2:$G$501,MATCH(367,Input!$J$2:$J$501,0)),"")</f>
        <v>MANGLER</v>
      </c>
      <c r="H368" t="str">
        <f>IFERROR(INDEX(Input!$H$2:$H$501,MATCH(367,Input!$J$2:$J$501,0)),"")</f>
        <v>Nei</v>
      </c>
    </row>
    <row r="369" spans="1:8" x14ac:dyDescent="0.35">
      <c r="A369" t="str">
        <f>IFERROR(INDEX(Input!$A$2:$A$501,MATCH(368,Input!$J$2:$J$501,0)),"")</f>
        <v>Materialformer</v>
      </c>
      <c r="B369" t="str">
        <f>IFERROR(INDEX(Input!$B$2:$B$501,MATCH(368,Input!$J$2:$J$501,0)),"")</f>
        <v>Gear</v>
      </c>
      <c r="C369" t="str">
        <f>IFERROR(INDEX(Input!$C$2:$C$501,MATCH(368,Input!$J$2:$J$501,0)),"")</f>
        <v>Large</v>
      </c>
      <c r="D369">
        <f>IFERROR(INDEX(Input!$D$2:$D$501,MATCH(368,Input!$J$2:$J$501,0)),"")</f>
        <v>1</v>
      </c>
      <c r="E369" s="3" t="str">
        <f>IFERROR(INDEX(Input!$E$2:$E$501,MATCH(368,Input!$J$2:$J$501,0)),"")</f>
        <v>Nei</v>
      </c>
      <c r="F369" t="str">
        <f>IFERROR(INDEX(Input!$F$2:$F$501,MATCH(368,Input!$J$2:$J$501,0)),"")</f>
        <v>Ja</v>
      </c>
      <c r="G369" s="3" t="str">
        <f>IFERROR(INDEX(Input!$G$2:$G$501,MATCH(368,Input!$J$2:$J$501,0)),"")</f>
        <v>MANGLER</v>
      </c>
      <c r="H369" t="str">
        <f>IFERROR(INDEX(Input!$H$2:$H$501,MATCH(368,Input!$J$2:$J$501,0)),"")</f>
        <v>Nei</v>
      </c>
    </row>
    <row r="370" spans="1:8" x14ac:dyDescent="0.35">
      <c r="A370" t="str">
        <f>IFERROR(INDEX(Input!$A$2:$A$501,MATCH(369,Input!$J$2:$J$501,0)),"")</f>
        <v>Materialformer</v>
      </c>
      <c r="B370" t="str">
        <f>IFERROR(INDEX(Input!$B$2:$B$501,MATCH(369,Input!$J$2:$J$501,0)),"")</f>
        <v>Gear</v>
      </c>
      <c r="C370" t="str">
        <f>IFERROR(INDEX(Input!$C$2:$C$501,MATCH(369,Input!$J$2:$J$501,0)),"")</f>
        <v>Huge</v>
      </c>
      <c r="D370">
        <f>IFERROR(INDEX(Input!$D$2:$D$501,MATCH(369,Input!$J$2:$J$501,0)),"")</f>
        <v>0</v>
      </c>
      <c r="E370" s="3" t="str">
        <f>IFERROR(INDEX(Input!$E$2:$E$501,MATCH(369,Input!$J$2:$J$501,0)),"")</f>
        <v>Nei</v>
      </c>
      <c r="F370" t="str">
        <f>IFERROR(INDEX(Input!$F$2:$F$501,MATCH(369,Input!$J$2:$J$501,0)),"")</f>
        <v>Nei</v>
      </c>
      <c r="G370" s="3" t="str">
        <f>IFERROR(INDEX(Input!$G$2:$G$501,MATCH(369,Input!$J$2:$J$501,0)),"")</f>
        <v>MANGLER</v>
      </c>
      <c r="H370" t="str">
        <f>IFERROR(INDEX(Input!$H$2:$H$501,MATCH(369,Input!$J$2:$J$501,0)),"")</f>
        <v>Nei</v>
      </c>
    </row>
    <row r="371" spans="1:8" x14ac:dyDescent="0.35">
      <c r="A371" t="str">
        <f>IFERROR(INDEX(Input!$A$2:$A$501,MATCH(370,Input!$J$2:$J$501,0)),"")</f>
        <v>Gems / crystals</v>
      </c>
      <c r="B371" t="str">
        <f>IFERROR(INDEX(Input!$B$2:$B$501,MATCH(370,Input!$J$2:$J$501,0)),"")</f>
        <v>Gem Exquisite</v>
      </c>
      <c r="C371" t="str">
        <f>IFERROR(INDEX(Input!$C$2:$C$501,MATCH(370,Input!$J$2:$J$501,0)),"")</f>
        <v>Huge</v>
      </c>
      <c r="D371">
        <f>IFERROR(INDEX(Input!$D$2:$D$501,MATCH(370,Input!$J$2:$J$501,0)),"")</f>
        <v>1</v>
      </c>
      <c r="E371" s="3" t="str">
        <f>IFERROR(INDEX(Input!$E$2:$E$501,MATCH(370,Input!$J$2:$J$501,0)),"")</f>
        <v>Skal Ikke ha</v>
      </c>
      <c r="F371" t="str">
        <f>IFERROR(INDEX(Input!$F$2:$F$501,MATCH(370,Input!$J$2:$J$501,0)),"")</f>
        <v>Ja</v>
      </c>
      <c r="G371" s="3" t="str">
        <f>IFERROR(INDEX(Input!$G$2:$G$501,MATCH(370,Input!$J$2:$J$501,0)),"")</f>
        <v>MANGLER</v>
      </c>
      <c r="H371" t="str">
        <f>IFERROR(INDEX(Input!$H$2:$H$501,MATCH(370,Input!$J$2:$J$501,0)),"")</f>
        <v>Ja</v>
      </c>
    </row>
    <row r="372" spans="1:8" x14ac:dyDescent="0.35">
      <c r="A372" t="str">
        <f>IFERROR(INDEX(Input!$A$2:$A$501,MATCH(371,Input!$J$2:$J$501,0)),"")</f>
        <v>Gems / crystals</v>
      </c>
      <c r="B372" t="str">
        <f>IFERROR(INDEX(Input!$B$2:$B$501,MATCH(371,Input!$J$2:$J$501,0)),"")</f>
        <v>Gem Flawless</v>
      </c>
      <c r="C372" t="str">
        <f>IFERROR(INDEX(Input!$C$2:$C$501,MATCH(371,Input!$J$2:$J$501,0)),"")</f>
        <v>Large</v>
      </c>
      <c r="D372">
        <f>IFERROR(INDEX(Input!$D$2:$D$501,MATCH(371,Input!$J$2:$J$501,0)),"")</f>
        <v>1</v>
      </c>
      <c r="E372" s="3" t="str">
        <f>IFERROR(INDEX(Input!$E$2:$E$501,MATCH(371,Input!$J$2:$J$501,0)),"")</f>
        <v>Skal Ikke ha</v>
      </c>
      <c r="F372" t="str">
        <f>IFERROR(INDEX(Input!$F$2:$F$501,MATCH(371,Input!$J$2:$J$501,0)),"")</f>
        <v>Ja</v>
      </c>
      <c r="G372" s="3" t="str">
        <f>IFERROR(INDEX(Input!$G$2:$G$501,MATCH(371,Input!$J$2:$J$501,0)),"")</f>
        <v>MANGLER</v>
      </c>
      <c r="H372" t="str">
        <f>IFERROR(INDEX(Input!$H$2:$H$501,MATCH(371,Input!$J$2:$J$501,0)),"")</f>
        <v>Nei</v>
      </c>
    </row>
    <row r="373" spans="1:8" x14ac:dyDescent="0.35">
      <c r="A373" t="str">
        <f>IFERROR(INDEX(Input!$A$2:$A$501,MATCH(372,Input!$J$2:$J$501,0)),"")</f>
        <v>Gems / crystals</v>
      </c>
      <c r="B373" t="str">
        <f>IFERROR(INDEX(Input!$B$2:$B$501,MATCH(372,Input!$J$2:$J$501,0)),"")</f>
        <v>Gem Rough</v>
      </c>
      <c r="C373" t="str">
        <f>IFERROR(INDEX(Input!$C$2:$C$501,MATCH(372,Input!$J$2:$J$501,0)),"")</f>
        <v>Tiny</v>
      </c>
      <c r="D373">
        <f>IFERROR(INDEX(Input!$D$2:$D$501,MATCH(372,Input!$J$2:$J$501,0)),"")</f>
        <v>3</v>
      </c>
      <c r="E373" s="3" t="str">
        <f>IFERROR(INDEX(Input!$E$2:$E$501,MATCH(372,Input!$J$2:$J$501,0)),"")</f>
        <v>Skal Ikke ha</v>
      </c>
      <c r="F373" t="str">
        <f>IFERROR(INDEX(Input!$F$2:$F$501,MATCH(372,Input!$J$2:$J$501,0)),"")</f>
        <v>Ja</v>
      </c>
      <c r="G373" s="3" t="str">
        <f>IFERROR(INDEX(Input!$G$2:$G$501,MATCH(372,Input!$J$2:$J$501,0)),"")</f>
        <v>MANGLER</v>
      </c>
      <c r="H373" t="str">
        <f>IFERROR(INDEX(Input!$H$2:$H$501,MATCH(372,Input!$J$2:$J$501,0)),"")</f>
        <v>Nei</v>
      </c>
    </row>
    <row r="374" spans="1:8" x14ac:dyDescent="0.35">
      <c r="A374" t="str">
        <f>IFERROR(INDEX(Input!$A$2:$A$501,MATCH(373,Input!$J$2:$J$501,0)),"")</f>
        <v>Gems / crystals</v>
      </c>
      <c r="B374" t="str">
        <f>IFERROR(INDEX(Input!$B$2:$B$501,MATCH(373,Input!$J$2:$J$501,0)),"")</f>
        <v>Gem Rough</v>
      </c>
      <c r="C374" t="str">
        <f>IFERROR(INDEX(Input!$C$2:$C$501,MATCH(373,Input!$J$2:$J$501,0)),"")</f>
        <v>Small</v>
      </c>
      <c r="D374">
        <f>IFERROR(INDEX(Input!$D$2:$D$501,MATCH(373,Input!$J$2:$J$501,0)),"")</f>
        <v>0</v>
      </c>
      <c r="E374" s="3" t="str">
        <f>IFERROR(INDEX(Input!$E$2:$E$501,MATCH(373,Input!$J$2:$J$501,0)),"")</f>
        <v>Skal Ikke ha</v>
      </c>
      <c r="F374" t="str">
        <f>IFERROR(INDEX(Input!$F$2:$F$501,MATCH(373,Input!$J$2:$J$501,0)),"")</f>
        <v>Nei</v>
      </c>
      <c r="G374" s="3" t="str">
        <f>IFERROR(INDEX(Input!$G$2:$G$501,MATCH(373,Input!$J$2:$J$501,0)),"")</f>
        <v>MANGLER</v>
      </c>
      <c r="H374" t="str">
        <f>IFERROR(INDEX(Input!$H$2:$H$501,MATCH(373,Input!$J$2:$J$501,0)),"")</f>
        <v>Nei</v>
      </c>
    </row>
    <row r="375" spans="1:8" x14ac:dyDescent="0.35">
      <c r="A375" t="str">
        <f>IFERROR(INDEX(Input!$A$2:$A$501,MATCH(374,Input!$J$2:$J$501,0)),"")</f>
        <v>Gems / crystals</v>
      </c>
      <c r="B375" t="str">
        <f>IFERROR(INDEX(Input!$B$2:$B$501,MATCH(374,Input!$J$2:$J$501,0)),"")</f>
        <v>Gem Rough</v>
      </c>
      <c r="C375" t="str">
        <f>IFERROR(INDEX(Input!$C$2:$C$501,MATCH(374,Input!$J$2:$J$501,0)),"")</f>
        <v>Normal</v>
      </c>
      <c r="D375">
        <f>IFERROR(INDEX(Input!$D$2:$D$501,MATCH(374,Input!$J$2:$J$501,0)),"")</f>
        <v>6</v>
      </c>
      <c r="E375" s="3" t="str">
        <f>IFERROR(INDEX(Input!$E$2:$E$501,MATCH(374,Input!$J$2:$J$501,0)),"")</f>
        <v>Skal Ikke ha</v>
      </c>
      <c r="F375" t="str">
        <f>IFERROR(INDEX(Input!$F$2:$F$501,MATCH(374,Input!$J$2:$J$501,0)),"")</f>
        <v>Ja</v>
      </c>
      <c r="G375" s="3" t="str">
        <f>IFERROR(INDEX(Input!$G$2:$G$501,MATCH(374,Input!$J$2:$J$501,0)),"")</f>
        <v>MANGLER</v>
      </c>
      <c r="H375" t="str">
        <f>IFERROR(INDEX(Input!$H$2:$H$501,MATCH(374,Input!$J$2:$J$501,0)),"")</f>
        <v>Nei</v>
      </c>
    </row>
    <row r="376" spans="1:8" x14ac:dyDescent="0.35">
      <c r="A376" t="str">
        <f>IFERROR(INDEX(Input!$A$2:$A$501,MATCH(375,Input!$J$2:$J$501,0)),"")</f>
        <v>Gems / crystals</v>
      </c>
      <c r="B376" t="str">
        <f>IFERROR(INDEX(Input!$B$2:$B$501,MATCH(375,Input!$J$2:$J$501,0)),"")</f>
        <v>Gem Rough</v>
      </c>
      <c r="C376" t="str">
        <f>IFERROR(INDEX(Input!$C$2:$C$501,MATCH(375,Input!$J$2:$J$501,0)),"")</f>
        <v>Large</v>
      </c>
      <c r="D376">
        <f>IFERROR(INDEX(Input!$D$2:$D$501,MATCH(375,Input!$J$2:$J$501,0)),"")</f>
        <v>0</v>
      </c>
      <c r="E376" s="3" t="str">
        <f>IFERROR(INDEX(Input!$E$2:$E$501,MATCH(375,Input!$J$2:$J$501,0)),"")</f>
        <v>Skal Ikke ha</v>
      </c>
      <c r="F376" t="str">
        <f>IFERROR(INDEX(Input!$F$2:$F$501,MATCH(375,Input!$J$2:$J$501,0)),"")</f>
        <v>Nei</v>
      </c>
      <c r="G376" s="3" t="str">
        <f>IFERROR(INDEX(Input!$G$2:$G$501,MATCH(375,Input!$J$2:$J$501,0)),"")</f>
        <v>MANGLER</v>
      </c>
      <c r="H376" t="str">
        <f>IFERROR(INDEX(Input!$H$2:$H$501,MATCH(375,Input!$J$2:$J$501,0)),"")</f>
        <v>Nei</v>
      </c>
    </row>
    <row r="377" spans="1:8" x14ac:dyDescent="0.35">
      <c r="A377" t="str">
        <f>IFERROR(INDEX(Input!$A$2:$A$501,MATCH(376,Input!$J$2:$J$501,0)),"")</f>
        <v>Gems / crystals</v>
      </c>
      <c r="B377" t="str">
        <f>IFERROR(INDEX(Input!$B$2:$B$501,MATCH(376,Input!$J$2:$J$501,0)),"")</f>
        <v>Gem Rough</v>
      </c>
      <c r="C377" t="str">
        <f>IFERROR(INDEX(Input!$C$2:$C$501,MATCH(376,Input!$J$2:$J$501,0)),"")</f>
        <v>Huge</v>
      </c>
      <c r="D377">
        <f>IFERROR(INDEX(Input!$D$2:$D$501,MATCH(376,Input!$J$2:$J$501,0)),"")</f>
        <v>0</v>
      </c>
      <c r="E377" s="3" t="str">
        <f>IFERROR(INDEX(Input!$E$2:$E$501,MATCH(376,Input!$J$2:$J$501,0)),"")</f>
        <v>Skal Ikke ha</v>
      </c>
      <c r="F377" t="str">
        <f>IFERROR(INDEX(Input!$F$2:$F$501,MATCH(376,Input!$J$2:$J$501,0)),"")</f>
        <v>Nei</v>
      </c>
      <c r="G377" s="3" t="str">
        <f>IFERROR(INDEX(Input!$G$2:$G$501,MATCH(376,Input!$J$2:$J$501,0)),"")</f>
        <v>MANGLER</v>
      </c>
      <c r="H377" t="str">
        <f>IFERROR(INDEX(Input!$H$2:$H$501,MATCH(376,Input!$J$2:$J$501,0)),"")</f>
        <v>Nei</v>
      </c>
    </row>
    <row r="378" spans="1:8" x14ac:dyDescent="0.35">
      <c r="A378" t="str">
        <f>IFERROR(INDEX(Input!$A$2:$A$501,MATCH(377,Input!$J$2:$J$501,0)),"")</f>
        <v>Gems / crystals</v>
      </c>
      <c r="B378" t="str">
        <f>IFERROR(INDEX(Input!$B$2:$B$501,MATCH(377,Input!$J$2:$J$501,0)),"")</f>
        <v>Gem</v>
      </c>
      <c r="C378" t="str">
        <f>IFERROR(INDEX(Input!$C$2:$C$501,MATCH(377,Input!$J$2:$J$501,0)),"")</f>
        <v>Tiny</v>
      </c>
      <c r="D378">
        <f>IFERROR(INDEX(Input!$D$2:$D$501,MATCH(377,Input!$J$2:$J$501,0)),"")</f>
        <v>0</v>
      </c>
      <c r="E378" s="3" t="str">
        <f>IFERROR(INDEX(Input!$E$2:$E$501,MATCH(377,Input!$J$2:$J$501,0)),"")</f>
        <v>Skal Ikke ha</v>
      </c>
      <c r="F378" t="str">
        <f>IFERROR(INDEX(Input!$F$2:$F$501,MATCH(377,Input!$J$2:$J$501,0)),"")</f>
        <v>Nei</v>
      </c>
      <c r="G378" s="3" t="str">
        <f>IFERROR(INDEX(Input!$G$2:$G$501,MATCH(377,Input!$J$2:$J$501,0)),"")</f>
        <v>MANGLER</v>
      </c>
      <c r="H378" t="str">
        <f>IFERROR(INDEX(Input!$H$2:$H$501,MATCH(377,Input!$J$2:$J$501,0)),"")</f>
        <v>Nei</v>
      </c>
    </row>
    <row r="379" spans="1:8" x14ac:dyDescent="0.35">
      <c r="A379" t="str">
        <f>IFERROR(INDEX(Input!$A$2:$A$501,MATCH(378,Input!$J$2:$J$501,0)),"")</f>
        <v>Gems / crystals</v>
      </c>
      <c r="B379" t="str">
        <f>IFERROR(INDEX(Input!$B$2:$B$501,MATCH(378,Input!$J$2:$J$501,0)),"")</f>
        <v>Gem</v>
      </c>
      <c r="C379" t="str">
        <f>IFERROR(INDEX(Input!$C$2:$C$501,MATCH(378,Input!$J$2:$J$501,0)),"")</f>
        <v>Small</v>
      </c>
      <c r="D379">
        <f>IFERROR(INDEX(Input!$D$2:$D$501,MATCH(378,Input!$J$2:$J$501,0)),"")</f>
        <v>0</v>
      </c>
      <c r="E379" s="3" t="str">
        <f>IFERROR(INDEX(Input!$E$2:$E$501,MATCH(378,Input!$J$2:$J$501,0)),"")</f>
        <v>Skal Ikke ha</v>
      </c>
      <c r="F379" t="str">
        <f>IFERROR(INDEX(Input!$F$2:$F$501,MATCH(378,Input!$J$2:$J$501,0)),"")</f>
        <v>Nei</v>
      </c>
      <c r="G379" s="3" t="str">
        <f>IFERROR(INDEX(Input!$G$2:$G$501,MATCH(378,Input!$J$2:$J$501,0)),"")</f>
        <v>MANGLER</v>
      </c>
      <c r="H379" t="str">
        <f>IFERROR(INDEX(Input!$H$2:$H$501,MATCH(378,Input!$J$2:$J$501,0)),"")</f>
        <v>Nei</v>
      </c>
    </row>
    <row r="380" spans="1:8" x14ac:dyDescent="0.35">
      <c r="A380" t="str">
        <f>IFERROR(INDEX(Input!$A$2:$A$501,MATCH(379,Input!$J$2:$J$501,0)),"")</f>
        <v>Gems / crystals</v>
      </c>
      <c r="B380" t="str">
        <f>IFERROR(INDEX(Input!$B$2:$B$501,MATCH(379,Input!$J$2:$J$501,0)),"")</f>
        <v>Gem</v>
      </c>
      <c r="C380" t="str">
        <f>IFERROR(INDEX(Input!$C$2:$C$501,MATCH(379,Input!$J$2:$J$501,0)),"")</f>
        <v>Normal</v>
      </c>
      <c r="D380">
        <f>IFERROR(INDEX(Input!$D$2:$D$501,MATCH(379,Input!$J$2:$J$501,0)),"")</f>
        <v>14</v>
      </c>
      <c r="E380" s="3" t="str">
        <f>IFERROR(INDEX(Input!$E$2:$E$501,MATCH(379,Input!$J$2:$J$501,0)),"")</f>
        <v>Skal Ikke ha</v>
      </c>
      <c r="F380" t="str">
        <f>IFERROR(INDEX(Input!$F$2:$F$501,MATCH(379,Input!$J$2:$J$501,0)),"")</f>
        <v>Ja</v>
      </c>
      <c r="G380" s="3" t="str">
        <f>IFERROR(INDEX(Input!$G$2:$G$501,MATCH(379,Input!$J$2:$J$501,0)),"")</f>
        <v>MANGLER</v>
      </c>
      <c r="H380" t="str">
        <f>IFERROR(INDEX(Input!$H$2:$H$501,MATCH(379,Input!$J$2:$J$501,0)),"")</f>
        <v>Nei</v>
      </c>
    </row>
    <row r="381" spans="1:8" x14ac:dyDescent="0.35">
      <c r="A381" t="str">
        <f>IFERROR(INDEX(Input!$A$2:$A$501,MATCH(380,Input!$J$2:$J$501,0)),"")</f>
        <v>Tool components</v>
      </c>
      <c r="B381" t="str">
        <f>IFERROR(INDEX(Input!$B$2:$B$501,MATCH(380,Input!$J$2:$J$501,0)),"")</f>
        <v>Hammer Head</v>
      </c>
      <c r="C381" t="str">
        <f>IFERROR(INDEX(Input!$C$2:$C$501,MATCH(380,Input!$J$2:$J$501,0)),"")</f>
        <v>Standard</v>
      </c>
      <c r="D381">
        <f>IFERROR(INDEX(Input!$D$2:$D$501,MATCH(380,Input!$J$2:$J$501,0)),"")</f>
        <v>0</v>
      </c>
      <c r="E381" s="3" t="str">
        <f>IFERROR(INDEX(Input!$E$2:$E$501,MATCH(380,Input!$J$2:$J$501,0)),"")</f>
        <v>Nei</v>
      </c>
      <c r="F381" t="str">
        <f>IFERROR(INDEX(Input!$F$2:$F$501,MATCH(380,Input!$J$2:$J$501,0)),"")</f>
        <v>Nei</v>
      </c>
      <c r="G381" s="3" t="str">
        <f>IFERROR(INDEX(Input!$G$2:$G$501,MATCH(380,Input!$J$2:$J$501,0)),"")</f>
        <v>MANGLER</v>
      </c>
      <c r="H381" t="str">
        <f>IFERROR(INDEX(Input!$H$2:$H$501,MATCH(380,Input!$J$2:$J$501,0)),"")</f>
        <v>Nei</v>
      </c>
    </row>
    <row r="382" spans="1:8" x14ac:dyDescent="0.35">
      <c r="A382" t="str">
        <f>IFERROR(INDEX(Input!$A$2:$A$501,MATCH(381,Input!$J$2:$J$501,0)),"")</f>
        <v>Tool components</v>
      </c>
      <c r="B382" t="str">
        <f>IFERROR(INDEX(Input!$B$2:$B$501,MATCH(381,Input!$J$2:$J$501,0)),"")</f>
        <v>Hoe Head</v>
      </c>
      <c r="C382" t="str">
        <f>IFERROR(INDEX(Input!$C$2:$C$501,MATCH(381,Input!$J$2:$J$501,0)),"")</f>
        <v>Standard</v>
      </c>
      <c r="D382">
        <f>IFERROR(INDEX(Input!$D$2:$D$501,MATCH(381,Input!$J$2:$J$501,0)),"")</f>
        <v>0</v>
      </c>
      <c r="E382" s="3" t="str">
        <f>IFERROR(INDEX(Input!$E$2:$E$501,MATCH(381,Input!$J$2:$J$501,0)),"")</f>
        <v>Nei</v>
      </c>
      <c r="F382" t="str">
        <f>IFERROR(INDEX(Input!$F$2:$F$501,MATCH(381,Input!$J$2:$J$501,0)),"")</f>
        <v>Nei</v>
      </c>
      <c r="G382" s="3" t="str">
        <f>IFERROR(INDEX(Input!$G$2:$G$501,MATCH(381,Input!$J$2:$J$501,0)),"")</f>
        <v>MANGLER</v>
      </c>
      <c r="H382" t="str">
        <f>IFERROR(INDEX(Input!$H$2:$H$501,MATCH(381,Input!$J$2:$J$501,0)),"")</f>
        <v>Nei</v>
      </c>
    </row>
    <row r="383" spans="1:8" x14ac:dyDescent="0.35">
      <c r="A383" t="str">
        <f>IFERROR(INDEX(Input!$A$2:$A$501,MATCH(382,Input!$J$2:$J$501,0)),"")</f>
        <v>Materialformer</v>
      </c>
      <c r="B383" t="str">
        <f>IFERROR(INDEX(Input!$B$2:$B$501,MATCH(382,Input!$J$2:$J$501,0)),"")</f>
        <v>Ingot Double</v>
      </c>
      <c r="C383" t="str">
        <f>IFERROR(INDEX(Input!$C$2:$C$501,MATCH(382,Input!$J$2:$J$501,0)),"")</f>
        <v>Standard</v>
      </c>
      <c r="D383">
        <f>IFERROR(INDEX(Input!$D$2:$D$501,MATCH(382,Input!$J$2:$J$501,0)),"")</f>
        <v>4</v>
      </c>
      <c r="E383" s="3" t="str">
        <f>IFERROR(INDEX(Input!$E$2:$E$501,MATCH(382,Input!$J$2:$J$501,0)),"")</f>
        <v>Skal Ikke ha</v>
      </c>
      <c r="F383" t="str">
        <f>IFERROR(INDEX(Input!$F$2:$F$501,MATCH(382,Input!$J$2:$J$501,0)),"")</f>
        <v>Ja</v>
      </c>
      <c r="G383" s="3" t="str">
        <f>IFERROR(INDEX(Input!$G$2:$G$501,MATCH(382,Input!$J$2:$J$501,0)),"")</f>
        <v>MANGLER</v>
      </c>
      <c r="H383" t="str">
        <f>IFERROR(INDEX(Input!$H$2:$H$501,MATCH(382,Input!$J$2:$J$501,0)),"")</f>
        <v>Nei</v>
      </c>
    </row>
    <row r="384" spans="1:8" x14ac:dyDescent="0.35">
      <c r="A384" t="str">
        <f>IFERROR(INDEX(Input!$A$2:$A$501,MATCH(383,Input!$J$2:$J$501,0)),"")</f>
        <v>Materialformer</v>
      </c>
      <c r="B384" t="str">
        <f>IFERROR(INDEX(Input!$B$2:$B$501,MATCH(383,Input!$J$2:$J$501,0)),"")</f>
        <v>Ingot Hot</v>
      </c>
      <c r="C384" t="str">
        <f>IFERROR(INDEX(Input!$C$2:$C$501,MATCH(383,Input!$J$2:$J$501,0)),"")</f>
        <v>Standerd</v>
      </c>
      <c r="D384">
        <f>IFERROR(INDEX(Input!$D$2:$D$501,MATCH(383,Input!$J$2:$J$501,0)),"")</f>
        <v>3</v>
      </c>
      <c r="E384" s="3" t="str">
        <f>IFERROR(INDEX(Input!$E$2:$E$501,MATCH(383,Input!$J$2:$J$501,0)),"")</f>
        <v>Skal Ikke ha</v>
      </c>
      <c r="F384" t="str">
        <f>IFERROR(INDEX(Input!$F$2:$F$501,MATCH(383,Input!$J$2:$J$501,0)),"")</f>
        <v>Ja</v>
      </c>
      <c r="G384" s="3" t="str">
        <f>IFERROR(INDEX(Input!$G$2:$G$501,MATCH(383,Input!$J$2:$J$501,0)),"")</f>
        <v>MANGLER</v>
      </c>
      <c r="H384" t="str">
        <f>IFERROR(INDEX(Input!$H$2:$H$501,MATCH(383,Input!$J$2:$J$501,0)),"")</f>
        <v>Nei</v>
      </c>
    </row>
    <row r="385" spans="1:8" x14ac:dyDescent="0.35">
      <c r="A385" t="str">
        <f>IFERROR(INDEX(Input!$A$2:$A$501,MATCH(384,Input!$J$2:$J$501,0)),"")</f>
        <v>Materialformer</v>
      </c>
      <c r="B385" t="str">
        <f>IFERROR(INDEX(Input!$B$2:$B$501,MATCH(384,Input!$J$2:$J$501,0)),"")</f>
        <v>Ingot</v>
      </c>
      <c r="C385" t="str">
        <f>IFERROR(INDEX(Input!$C$2:$C$501,MATCH(384,Input!$J$2:$J$501,0)),"")</f>
        <v>Standerd</v>
      </c>
      <c r="D385">
        <f>IFERROR(INDEX(Input!$D$2:$D$501,MATCH(384,Input!$J$2:$J$501,0)),"")</f>
        <v>5</v>
      </c>
      <c r="E385" s="3" t="str">
        <f>IFERROR(INDEX(Input!$E$2:$E$501,MATCH(384,Input!$J$2:$J$501,0)),"")</f>
        <v>Ja</v>
      </c>
      <c r="F385" t="str">
        <f>IFERROR(INDEX(Input!$F$2:$F$501,MATCH(384,Input!$J$2:$J$501,0)),"")</f>
        <v>Ja</v>
      </c>
      <c r="G385" s="3" t="str">
        <f>IFERROR(INDEX(Input!$G$2:$G$501,MATCH(384,Input!$J$2:$J$501,0)),"")</f>
        <v>MANGLER</v>
      </c>
      <c r="H385" t="str">
        <f>IFERROR(INDEX(Input!$H$2:$H$501,MATCH(384,Input!$J$2:$J$501,0)),"")</f>
        <v>Nei</v>
      </c>
    </row>
    <row r="386" spans="1:8" x14ac:dyDescent="0.35">
      <c r="A386" t="str">
        <f>IFERROR(INDEX(Input!$A$2:$A$501,MATCH(385,Input!$J$2:$J$501,0)),"")</f>
        <v>Tool components</v>
      </c>
      <c r="B386" t="str">
        <f>IFERROR(INDEX(Input!$B$2:$B$501,MATCH(385,Input!$J$2:$J$501,0)),"")</f>
        <v>Knife Blade</v>
      </c>
      <c r="C386" t="str">
        <f>IFERROR(INDEX(Input!$C$2:$C$501,MATCH(385,Input!$J$2:$J$501,0)),"")</f>
        <v>Standard</v>
      </c>
      <c r="D386">
        <f>IFERROR(INDEX(Input!$D$2:$D$501,MATCH(385,Input!$J$2:$J$501,0)),"")</f>
        <v>0</v>
      </c>
      <c r="E386" s="3" t="str">
        <f>IFERROR(INDEX(Input!$E$2:$E$501,MATCH(385,Input!$J$2:$J$501,0)),"")</f>
        <v>Nei</v>
      </c>
      <c r="F386" t="str">
        <f>IFERROR(INDEX(Input!$F$2:$F$501,MATCH(385,Input!$J$2:$J$501,0)),"")</f>
        <v>Nei</v>
      </c>
      <c r="G386" s="3" t="str">
        <f>IFERROR(INDEX(Input!$G$2:$G$501,MATCH(385,Input!$J$2:$J$501,0)),"")</f>
        <v>MANGLER</v>
      </c>
      <c r="H386" t="str">
        <f>IFERROR(INDEX(Input!$H$2:$H$501,MATCH(385,Input!$J$2:$J$501,0)),"")</f>
        <v>Nei</v>
      </c>
    </row>
    <row r="387" spans="1:8" x14ac:dyDescent="0.35">
      <c r="A387" t="str">
        <f>IFERROR(INDEX(Input!$A$2:$A$501,MATCH(386,Input!$J$2:$J$501,0)),"")</f>
        <v>Materialformer</v>
      </c>
      <c r="B387" t="str">
        <f>IFERROR(INDEX(Input!$B$2:$B$501,MATCH(386,Input!$J$2:$J$501,0)),"")</f>
        <v>Lens</v>
      </c>
      <c r="C387" t="str">
        <f>IFERROR(INDEX(Input!$C$2:$C$501,MATCH(386,Input!$J$2:$J$501,0)),"")</f>
        <v>Standerd</v>
      </c>
      <c r="D387">
        <f>IFERROR(INDEX(Input!$D$2:$D$501,MATCH(386,Input!$J$2:$J$501,0)),"")</f>
        <v>1</v>
      </c>
      <c r="E387" s="3" t="str">
        <f>IFERROR(INDEX(Input!$E$2:$E$501,MATCH(386,Input!$J$2:$J$501,0)),"")</f>
        <v>Skal Ikke ha</v>
      </c>
      <c r="F387" t="str">
        <f>IFERROR(INDEX(Input!$F$2:$F$501,MATCH(386,Input!$J$2:$J$501,0)),"")</f>
        <v>Ja</v>
      </c>
      <c r="G387" s="3" t="str">
        <f>IFERROR(INDEX(Input!$G$2:$G$501,MATCH(386,Input!$J$2:$J$501,0)),"")</f>
        <v>MANGLER</v>
      </c>
      <c r="H387" t="str">
        <f>IFERROR(INDEX(Input!$H$2:$H$501,MATCH(386,Input!$J$2:$J$501,0)),"")</f>
        <v>Nei</v>
      </c>
    </row>
    <row r="388" spans="1:8" x14ac:dyDescent="0.35">
      <c r="A388" t="str">
        <f>IFERROR(INDEX(Input!$A$2:$A$501,MATCH(387,Input!$J$2:$J$501,0)),"")</f>
        <v>Fluids</v>
      </c>
      <c r="B388" t="str">
        <f>IFERROR(INDEX(Input!$B$2:$B$501,MATCH(387,Input!$J$2:$J$501,0)),"")</f>
        <v>Liquid</v>
      </c>
      <c r="C388" t="str">
        <f>IFERROR(INDEX(Input!$C$2:$C$501,MATCH(387,Input!$J$2:$J$501,0)),"")</f>
        <v>Standard</v>
      </c>
      <c r="D388">
        <f>IFERROR(INDEX(Input!$D$2:$D$501,MATCH(387,Input!$J$2:$J$501,0)),"")</f>
        <v>1</v>
      </c>
      <c r="E388" s="3" t="str">
        <f>IFERROR(INDEX(Input!$E$2:$E$501,MATCH(387,Input!$J$2:$J$501,0)),"")</f>
        <v>Skal Ikke ha</v>
      </c>
      <c r="F388" t="str">
        <f>IFERROR(INDEX(Input!$F$2:$F$501,MATCH(387,Input!$J$2:$J$501,0)),"")</f>
        <v>Ja</v>
      </c>
      <c r="G388" s="3" t="str">
        <f>IFERROR(INDEX(Input!$G$2:$G$501,MATCH(387,Input!$J$2:$J$501,0)),"")</f>
        <v>MANGLER</v>
      </c>
      <c r="H388" t="str">
        <f>IFERROR(INDEX(Input!$H$2:$H$501,MATCH(387,Input!$J$2:$J$501,0)),"")</f>
        <v>Nei</v>
      </c>
    </row>
    <row r="389" spans="1:8" x14ac:dyDescent="0.35">
      <c r="A389" t="str">
        <f>IFERROR(INDEX(Input!$A$2:$A$501,MATCH(388,Input!$J$2:$J$501,0)),"")</f>
        <v>Generell Overlay</v>
      </c>
      <c r="B389" t="str">
        <f>IFERROR(INDEX(Input!$B$2:$B$501,MATCH(388,Input!$J$2:$J$501,0)),"")</f>
        <v>Magnetic</v>
      </c>
      <c r="C389" t="str">
        <f>IFERROR(INDEX(Input!$C$2:$C$501,MATCH(388,Input!$J$2:$J$501,0)),"")</f>
        <v>Standard</v>
      </c>
      <c r="D389">
        <f>IFERROR(INDEX(Input!$D$2:$D$501,MATCH(388,Input!$J$2:$J$501,0)),"")</f>
        <v>0</v>
      </c>
      <c r="E389" s="3" t="str">
        <f>IFERROR(INDEX(Input!$E$2:$E$501,MATCH(388,Input!$J$2:$J$501,0)),"")</f>
        <v>Skal ikke ha</v>
      </c>
      <c r="F389" t="str">
        <f>IFERROR(INDEX(Input!$F$2:$F$501,MATCH(388,Input!$J$2:$J$501,0)),"")</f>
        <v>Nei</v>
      </c>
      <c r="G389" s="3" t="str">
        <f>IFERROR(INDEX(Input!$G$2:$G$501,MATCH(388,Input!$J$2:$J$501,0)),"")</f>
        <v>MANGLER</v>
      </c>
      <c r="H389" t="str">
        <f>IFERROR(INDEX(Input!$H$2:$H$501,MATCH(388,Input!$J$2:$J$501,0)),"")</f>
        <v>Nei</v>
      </c>
    </row>
    <row r="390" spans="1:8" x14ac:dyDescent="0.35">
      <c r="A390" t="str">
        <f>IFERROR(INDEX(Input!$A$2:$A$501,MATCH(389,Input!$J$2:$J$501,0)),"")</f>
        <v>Tool components</v>
      </c>
      <c r="B390" t="str">
        <f>IFERROR(INDEX(Input!$B$2:$B$501,MATCH(389,Input!$J$2:$J$501,0)),"")</f>
        <v>Mallet Head</v>
      </c>
      <c r="C390" t="str">
        <f>IFERROR(INDEX(Input!$C$2:$C$501,MATCH(389,Input!$J$2:$J$501,0)),"")</f>
        <v>Standard</v>
      </c>
      <c r="D390">
        <f>IFERROR(INDEX(Input!$D$2:$D$501,MATCH(389,Input!$J$2:$J$501,0)),"")</f>
        <v>0</v>
      </c>
      <c r="E390" s="3" t="str">
        <f>IFERROR(INDEX(Input!$E$2:$E$501,MATCH(389,Input!$J$2:$J$501,0)),"")</f>
        <v>Nei</v>
      </c>
      <c r="F390" t="str">
        <f>IFERROR(INDEX(Input!$F$2:$F$501,MATCH(389,Input!$J$2:$J$501,0)),"")</f>
        <v>Nei</v>
      </c>
      <c r="G390" s="3" t="str">
        <f>IFERROR(INDEX(Input!$G$2:$G$501,MATCH(389,Input!$J$2:$J$501,0)),"")</f>
        <v>MANGLER</v>
      </c>
      <c r="H390" t="str">
        <f>IFERROR(INDEX(Input!$H$2:$H$501,MATCH(389,Input!$J$2:$J$501,0)),"")</f>
        <v>Nei</v>
      </c>
    </row>
    <row r="391" spans="1:8" x14ac:dyDescent="0.35">
      <c r="A391" t="str">
        <f>IFERROR(INDEX(Input!$A$2:$A$501,MATCH(390,Input!$J$2:$J$501,0)),"")</f>
        <v>Fluids</v>
      </c>
      <c r="B391" t="str">
        <f>IFERROR(INDEX(Input!$B$2:$B$501,MATCH(390,Input!$J$2:$J$501,0)),"")</f>
        <v>Molten</v>
      </c>
      <c r="C391" t="str">
        <f>IFERROR(INDEX(Input!$C$2:$C$501,MATCH(390,Input!$J$2:$J$501,0)),"")</f>
        <v>Standard</v>
      </c>
      <c r="D391">
        <f>IFERROR(INDEX(Input!$D$2:$D$501,MATCH(390,Input!$J$2:$J$501,0)),"")</f>
        <v>2</v>
      </c>
      <c r="E391" s="3" t="str">
        <f>IFERROR(INDEX(Input!$E$2:$E$501,MATCH(390,Input!$J$2:$J$501,0)),"")</f>
        <v>Skal Ikke ha</v>
      </c>
      <c r="F391" t="str">
        <f>IFERROR(INDEX(Input!$F$2:$F$501,MATCH(390,Input!$J$2:$J$501,0)),"")</f>
        <v>Ja</v>
      </c>
      <c r="G391" s="3" t="str">
        <f>IFERROR(INDEX(Input!$G$2:$G$501,MATCH(390,Input!$J$2:$J$501,0)),"")</f>
        <v>MANGLER</v>
      </c>
      <c r="H391" t="str">
        <f>IFERROR(INDEX(Input!$H$2:$H$501,MATCH(390,Input!$J$2:$J$501,0)),"")</f>
        <v>Nei</v>
      </c>
    </row>
    <row r="392" spans="1:8" x14ac:dyDescent="0.35">
      <c r="A392" t="str">
        <f>IFERROR(INDEX(Input!$A$2:$A$501,MATCH(391,Input!$J$2:$J$501,0)),"")</f>
        <v>Machine components</v>
      </c>
      <c r="B392" t="str">
        <f>IFERROR(INDEX(Input!$B$2:$B$501,MATCH(391,Input!$J$2:$J$501,0)),"")</f>
        <v>Motor Armature</v>
      </c>
      <c r="C392" t="str">
        <f>IFERROR(INDEX(Input!$C$2:$C$501,MATCH(391,Input!$J$2:$J$501,0)),"")</f>
        <v>Tiny</v>
      </c>
      <c r="D392">
        <f>IFERROR(INDEX(Input!$D$2:$D$501,MATCH(391,Input!$J$2:$J$501,0)),"")</f>
        <v>0</v>
      </c>
      <c r="E392" s="3" t="str">
        <f>IFERROR(INDEX(Input!$E$2:$E$501,MATCH(391,Input!$J$2:$J$501,0)),"")</f>
        <v>Skal Ikke ha</v>
      </c>
      <c r="F392" t="str">
        <f>IFERROR(INDEX(Input!$F$2:$F$501,MATCH(391,Input!$J$2:$J$501,0)),"")</f>
        <v>Nei</v>
      </c>
      <c r="G392" s="3" t="str">
        <f>IFERROR(INDEX(Input!$G$2:$G$501,MATCH(391,Input!$J$2:$J$501,0)),"")</f>
        <v>MANGLER</v>
      </c>
      <c r="H392" t="str">
        <f>IFERROR(INDEX(Input!$H$2:$H$501,MATCH(391,Input!$J$2:$J$501,0)),"")</f>
        <v>Nei</v>
      </c>
    </row>
    <row r="393" spans="1:8" x14ac:dyDescent="0.35">
      <c r="A393" t="str">
        <f>IFERROR(INDEX(Input!$A$2:$A$501,MATCH(392,Input!$J$2:$J$501,0)),"")</f>
        <v>Machine components</v>
      </c>
      <c r="B393" t="str">
        <f>IFERROR(INDEX(Input!$B$2:$B$501,MATCH(392,Input!$J$2:$J$501,0)),"")</f>
        <v>Motor Armature</v>
      </c>
      <c r="C393" t="str">
        <f>IFERROR(INDEX(Input!$C$2:$C$501,MATCH(392,Input!$J$2:$J$501,0)),"")</f>
        <v>Small</v>
      </c>
      <c r="D393">
        <f>IFERROR(INDEX(Input!$D$2:$D$501,MATCH(392,Input!$J$2:$J$501,0)),"")</f>
        <v>0</v>
      </c>
      <c r="E393" s="3" t="str">
        <f>IFERROR(INDEX(Input!$E$2:$E$501,MATCH(392,Input!$J$2:$J$501,0)),"")</f>
        <v>Skal Ikke ha</v>
      </c>
      <c r="F393" t="str">
        <f>IFERROR(INDEX(Input!$F$2:$F$501,MATCH(392,Input!$J$2:$J$501,0)),"")</f>
        <v>Nei</v>
      </c>
      <c r="G393" s="3" t="str">
        <f>IFERROR(INDEX(Input!$G$2:$G$501,MATCH(392,Input!$J$2:$J$501,0)),"")</f>
        <v>MANGLER</v>
      </c>
      <c r="H393" t="str">
        <f>IFERROR(INDEX(Input!$H$2:$H$501,MATCH(392,Input!$J$2:$J$501,0)),"")</f>
        <v>Nei</v>
      </c>
    </row>
    <row r="394" spans="1:8" x14ac:dyDescent="0.35">
      <c r="A394" t="str">
        <f>IFERROR(INDEX(Input!$A$2:$A$501,MATCH(393,Input!$J$2:$J$501,0)),"")</f>
        <v>Machine components</v>
      </c>
      <c r="B394" t="str">
        <f>IFERROR(INDEX(Input!$B$2:$B$501,MATCH(393,Input!$J$2:$J$501,0)),"")</f>
        <v>Motor Armature</v>
      </c>
      <c r="C394" t="str">
        <f>IFERROR(INDEX(Input!$C$2:$C$501,MATCH(393,Input!$J$2:$J$501,0)),"")</f>
        <v>Normal</v>
      </c>
      <c r="D394">
        <f>IFERROR(INDEX(Input!$D$2:$D$501,MATCH(393,Input!$J$2:$J$501,0)),"")</f>
        <v>0</v>
      </c>
      <c r="E394" s="3" t="str">
        <f>IFERROR(INDEX(Input!$E$2:$E$501,MATCH(393,Input!$J$2:$J$501,0)),"")</f>
        <v>Skal Ikke ha</v>
      </c>
      <c r="F394" t="str">
        <f>IFERROR(INDEX(Input!$F$2:$F$501,MATCH(393,Input!$J$2:$J$501,0)),"")</f>
        <v>Nei</v>
      </c>
      <c r="G394" s="3" t="str">
        <f>IFERROR(INDEX(Input!$G$2:$G$501,MATCH(393,Input!$J$2:$J$501,0)),"")</f>
        <v>MANGLER</v>
      </c>
      <c r="H394" t="str">
        <f>IFERROR(INDEX(Input!$H$2:$H$501,MATCH(393,Input!$J$2:$J$501,0)),"")</f>
        <v>Nei</v>
      </c>
    </row>
    <row r="395" spans="1:8" x14ac:dyDescent="0.35">
      <c r="A395" t="str">
        <f>IFERROR(INDEX(Input!$A$2:$A$501,MATCH(394,Input!$J$2:$J$501,0)),"")</f>
        <v>Machine components</v>
      </c>
      <c r="B395" t="str">
        <f>IFERROR(INDEX(Input!$B$2:$B$501,MATCH(394,Input!$J$2:$J$501,0)),"")</f>
        <v>Motor Armature</v>
      </c>
      <c r="C395" t="str">
        <f>IFERROR(INDEX(Input!$C$2:$C$501,MATCH(394,Input!$J$2:$J$501,0)),"")</f>
        <v>Large</v>
      </c>
      <c r="D395">
        <f>IFERROR(INDEX(Input!$D$2:$D$501,MATCH(394,Input!$J$2:$J$501,0)),"")</f>
        <v>0</v>
      </c>
      <c r="E395" s="3" t="str">
        <f>IFERROR(INDEX(Input!$E$2:$E$501,MATCH(394,Input!$J$2:$J$501,0)),"")</f>
        <v>Skal Ikke ha</v>
      </c>
      <c r="F395" t="str">
        <f>IFERROR(INDEX(Input!$F$2:$F$501,MATCH(394,Input!$J$2:$J$501,0)),"")</f>
        <v>Nei</v>
      </c>
      <c r="G395" s="3" t="str">
        <f>IFERROR(INDEX(Input!$G$2:$G$501,MATCH(394,Input!$J$2:$J$501,0)),"")</f>
        <v>MANGLER</v>
      </c>
      <c r="H395" t="str">
        <f>IFERROR(INDEX(Input!$H$2:$H$501,MATCH(394,Input!$J$2:$J$501,0)),"")</f>
        <v>Nei</v>
      </c>
    </row>
    <row r="396" spans="1:8" x14ac:dyDescent="0.35">
      <c r="A396" t="str">
        <f>IFERROR(INDEX(Input!$A$2:$A$501,MATCH(395,Input!$J$2:$J$501,0)),"")</f>
        <v>Machine components</v>
      </c>
      <c r="B396" t="str">
        <f>IFERROR(INDEX(Input!$B$2:$B$501,MATCH(395,Input!$J$2:$J$501,0)),"")</f>
        <v>Motor Armature</v>
      </c>
      <c r="C396" t="str">
        <f>IFERROR(INDEX(Input!$C$2:$C$501,MATCH(395,Input!$J$2:$J$501,0)),"")</f>
        <v>Huge</v>
      </c>
      <c r="D396">
        <f>IFERROR(INDEX(Input!$D$2:$D$501,MATCH(395,Input!$J$2:$J$501,0)),"")</f>
        <v>0</v>
      </c>
      <c r="E396" s="3" t="str">
        <f>IFERROR(INDEX(Input!$E$2:$E$501,MATCH(395,Input!$J$2:$J$501,0)),"")</f>
        <v>Skal Ikke ha</v>
      </c>
      <c r="F396" t="str">
        <f>IFERROR(INDEX(Input!$F$2:$F$501,MATCH(395,Input!$J$2:$J$501,0)),"")</f>
        <v>Nei</v>
      </c>
      <c r="G396" s="3" t="str">
        <f>IFERROR(INDEX(Input!$G$2:$G$501,MATCH(395,Input!$J$2:$J$501,0)),"")</f>
        <v>MANGLER</v>
      </c>
      <c r="H396" t="str">
        <f>IFERROR(INDEX(Input!$H$2:$H$501,MATCH(395,Input!$J$2:$J$501,0)),"")</f>
        <v>Nei</v>
      </c>
    </row>
    <row r="397" spans="1:8" x14ac:dyDescent="0.35">
      <c r="A397" t="str">
        <f>IFERROR(INDEX(Input!$A$2:$A$501,MATCH(396,Input!$J$2:$J$501,0)),"")</f>
        <v>Machine components</v>
      </c>
      <c r="B397" t="str">
        <f>IFERROR(INDEX(Input!$B$2:$B$501,MATCH(396,Input!$J$2:$J$501,0)),"")</f>
        <v>Motor Coil</v>
      </c>
      <c r="C397" t="str">
        <f>IFERROR(INDEX(Input!$C$2:$C$501,MATCH(396,Input!$J$2:$J$501,0)),"")</f>
        <v>Tiny</v>
      </c>
      <c r="D397">
        <f>IFERROR(INDEX(Input!$D$2:$D$501,MATCH(396,Input!$J$2:$J$501,0)),"")</f>
        <v>0</v>
      </c>
      <c r="E397" s="3" t="str">
        <f>IFERROR(INDEX(Input!$E$2:$E$501,MATCH(396,Input!$J$2:$J$501,0)),"")</f>
        <v>Skal Ikke ha</v>
      </c>
      <c r="F397" t="str">
        <f>IFERROR(INDEX(Input!$F$2:$F$501,MATCH(396,Input!$J$2:$J$501,0)),"")</f>
        <v>Nei</v>
      </c>
      <c r="G397" s="3" t="str">
        <f>IFERROR(INDEX(Input!$G$2:$G$501,MATCH(396,Input!$J$2:$J$501,0)),"")</f>
        <v>MANGLER</v>
      </c>
      <c r="H397" t="str">
        <f>IFERROR(INDEX(Input!$H$2:$H$501,MATCH(396,Input!$J$2:$J$501,0)),"")</f>
        <v>Nei</v>
      </c>
    </row>
    <row r="398" spans="1:8" x14ac:dyDescent="0.35">
      <c r="A398" t="str">
        <f>IFERROR(INDEX(Input!$A$2:$A$501,MATCH(397,Input!$J$2:$J$501,0)),"")</f>
        <v>Machine components</v>
      </c>
      <c r="B398" t="str">
        <f>IFERROR(INDEX(Input!$B$2:$B$501,MATCH(397,Input!$J$2:$J$501,0)),"")</f>
        <v>Motor Coil</v>
      </c>
      <c r="C398" t="str">
        <f>IFERROR(INDEX(Input!$C$2:$C$501,MATCH(397,Input!$J$2:$J$501,0)),"")</f>
        <v>Small</v>
      </c>
      <c r="D398">
        <f>IFERROR(INDEX(Input!$D$2:$D$501,MATCH(397,Input!$J$2:$J$501,0)),"")</f>
        <v>0</v>
      </c>
      <c r="E398" s="3" t="str">
        <f>IFERROR(INDEX(Input!$E$2:$E$501,MATCH(397,Input!$J$2:$J$501,0)),"")</f>
        <v>Skal Ikke ha</v>
      </c>
      <c r="F398" t="str">
        <f>IFERROR(INDEX(Input!$F$2:$F$501,MATCH(397,Input!$J$2:$J$501,0)),"")</f>
        <v>Nei</v>
      </c>
      <c r="G398" s="3" t="str">
        <f>IFERROR(INDEX(Input!$G$2:$G$501,MATCH(397,Input!$J$2:$J$501,0)),"")</f>
        <v>MANGLER</v>
      </c>
      <c r="H398" t="str">
        <f>IFERROR(INDEX(Input!$H$2:$H$501,MATCH(397,Input!$J$2:$J$501,0)),"")</f>
        <v>Nei</v>
      </c>
    </row>
    <row r="399" spans="1:8" x14ac:dyDescent="0.35">
      <c r="A399" t="str">
        <f>IFERROR(INDEX(Input!$A$2:$A$501,MATCH(398,Input!$J$2:$J$501,0)),"")</f>
        <v>Machine components</v>
      </c>
      <c r="B399" t="str">
        <f>IFERROR(INDEX(Input!$B$2:$B$501,MATCH(398,Input!$J$2:$J$501,0)),"")</f>
        <v>Motor Coil</v>
      </c>
      <c r="C399" t="str">
        <f>IFERROR(INDEX(Input!$C$2:$C$501,MATCH(398,Input!$J$2:$J$501,0)),"")</f>
        <v>Normal</v>
      </c>
      <c r="D399">
        <f>IFERROR(INDEX(Input!$D$2:$D$501,MATCH(398,Input!$J$2:$J$501,0)),"")</f>
        <v>0</v>
      </c>
      <c r="E399" s="3" t="str">
        <f>IFERROR(INDEX(Input!$E$2:$E$501,MATCH(398,Input!$J$2:$J$501,0)),"")</f>
        <v>Skal Ikke ha</v>
      </c>
      <c r="F399" t="str">
        <f>IFERROR(INDEX(Input!$F$2:$F$501,MATCH(398,Input!$J$2:$J$501,0)),"")</f>
        <v>Nei</v>
      </c>
      <c r="G399" s="3" t="str">
        <f>IFERROR(INDEX(Input!$G$2:$G$501,MATCH(398,Input!$J$2:$J$501,0)),"")</f>
        <v>MANGLER</v>
      </c>
      <c r="H399" t="str">
        <f>IFERROR(INDEX(Input!$H$2:$H$501,MATCH(398,Input!$J$2:$J$501,0)),"")</f>
        <v>Nei</v>
      </c>
    </row>
    <row r="400" spans="1:8" x14ac:dyDescent="0.35">
      <c r="A400" t="str">
        <f>IFERROR(INDEX(Input!$A$2:$A$501,MATCH(399,Input!$J$2:$J$501,0)),"")</f>
        <v>Machine components</v>
      </c>
      <c r="B400" t="str">
        <f>IFERROR(INDEX(Input!$B$2:$B$501,MATCH(399,Input!$J$2:$J$501,0)),"")</f>
        <v>Motor Coil</v>
      </c>
      <c r="C400" t="str">
        <f>IFERROR(INDEX(Input!$C$2:$C$501,MATCH(399,Input!$J$2:$J$501,0)),"")</f>
        <v>Large</v>
      </c>
      <c r="D400">
        <f>IFERROR(INDEX(Input!$D$2:$D$501,MATCH(399,Input!$J$2:$J$501,0)),"")</f>
        <v>0</v>
      </c>
      <c r="E400" s="3" t="str">
        <f>IFERROR(INDEX(Input!$E$2:$E$501,MATCH(399,Input!$J$2:$J$501,0)),"")</f>
        <v>Skal Ikke ha</v>
      </c>
      <c r="F400" t="str">
        <f>IFERROR(INDEX(Input!$F$2:$F$501,MATCH(399,Input!$J$2:$J$501,0)),"")</f>
        <v>Nei</v>
      </c>
      <c r="G400" s="3" t="str">
        <f>IFERROR(INDEX(Input!$G$2:$G$501,MATCH(399,Input!$J$2:$J$501,0)),"")</f>
        <v>MANGLER</v>
      </c>
      <c r="H400" t="str">
        <f>IFERROR(INDEX(Input!$H$2:$H$501,MATCH(399,Input!$J$2:$J$501,0)),"")</f>
        <v>Nei</v>
      </c>
    </row>
    <row r="401" spans="1:8" x14ac:dyDescent="0.35">
      <c r="A401" t="str">
        <f>IFERROR(INDEX(Input!$A$2:$A$501,MATCH(400,Input!$J$2:$J$501,0)),"")</f>
        <v>Machine components</v>
      </c>
      <c r="B401" t="str">
        <f>IFERROR(INDEX(Input!$B$2:$B$501,MATCH(400,Input!$J$2:$J$501,0)),"")</f>
        <v>Motor Coil</v>
      </c>
      <c r="C401" t="str">
        <f>IFERROR(INDEX(Input!$C$2:$C$501,MATCH(400,Input!$J$2:$J$501,0)),"")</f>
        <v>Huge</v>
      </c>
      <c r="D401">
        <f>IFERROR(INDEX(Input!$D$2:$D$501,MATCH(400,Input!$J$2:$J$501,0)),"")</f>
        <v>0</v>
      </c>
      <c r="E401" s="3" t="str">
        <f>IFERROR(INDEX(Input!$E$2:$E$501,MATCH(400,Input!$J$2:$J$501,0)),"")</f>
        <v>Skal Ikke ha</v>
      </c>
      <c r="F401" t="str">
        <f>IFERROR(INDEX(Input!$F$2:$F$501,MATCH(400,Input!$J$2:$J$501,0)),"")</f>
        <v>Nei</v>
      </c>
      <c r="G401" s="3" t="str">
        <f>IFERROR(INDEX(Input!$G$2:$G$501,MATCH(400,Input!$J$2:$J$501,0)),"")</f>
        <v>MANGLER</v>
      </c>
      <c r="H401" t="str">
        <f>IFERROR(INDEX(Input!$H$2:$H$501,MATCH(400,Input!$J$2:$J$501,0)),"")</f>
        <v>Nei</v>
      </c>
    </row>
    <row r="402" spans="1:8" x14ac:dyDescent="0.35">
      <c r="A402" t="str">
        <f>IFERROR(INDEX(Input!$A$2:$A$501,MATCH(401,Input!$J$2:$J$501,0)),"")</f>
        <v>Machine components</v>
      </c>
      <c r="B402" t="str">
        <f>IFERROR(INDEX(Input!$B$2:$B$501,MATCH(401,Input!$J$2:$J$501,0)),"")</f>
        <v>Motor Housing</v>
      </c>
      <c r="C402" t="str">
        <f>IFERROR(INDEX(Input!$C$2:$C$501,MATCH(401,Input!$J$2:$J$501,0)),"")</f>
        <v>Tiny</v>
      </c>
      <c r="D402">
        <f>IFERROR(INDEX(Input!$D$2:$D$501,MATCH(401,Input!$J$2:$J$501,0)),"")</f>
        <v>0</v>
      </c>
      <c r="E402" s="3" t="str">
        <f>IFERROR(INDEX(Input!$E$2:$E$501,MATCH(401,Input!$J$2:$J$501,0)),"")</f>
        <v>Skal Ikke ha</v>
      </c>
      <c r="F402" t="str">
        <f>IFERROR(INDEX(Input!$F$2:$F$501,MATCH(401,Input!$J$2:$J$501,0)),"")</f>
        <v>Nei</v>
      </c>
      <c r="G402" s="3" t="str">
        <f>IFERROR(INDEX(Input!$G$2:$G$501,MATCH(401,Input!$J$2:$J$501,0)),"")</f>
        <v>MANGLER</v>
      </c>
      <c r="H402" t="str">
        <f>IFERROR(INDEX(Input!$H$2:$H$501,MATCH(401,Input!$J$2:$J$501,0)),"")</f>
        <v>Nei</v>
      </c>
    </row>
    <row r="403" spans="1:8" x14ac:dyDescent="0.35">
      <c r="A403" t="str">
        <f>IFERROR(INDEX(Input!$A$2:$A$501,MATCH(402,Input!$J$2:$J$501,0)),"")</f>
        <v>Machine components</v>
      </c>
      <c r="B403" t="str">
        <f>IFERROR(INDEX(Input!$B$2:$B$501,MATCH(402,Input!$J$2:$J$501,0)),"")</f>
        <v>Motor Housing</v>
      </c>
      <c r="C403" t="str">
        <f>IFERROR(INDEX(Input!$C$2:$C$501,MATCH(402,Input!$J$2:$J$501,0)),"")</f>
        <v>Small</v>
      </c>
      <c r="D403">
        <f>IFERROR(INDEX(Input!$D$2:$D$501,MATCH(402,Input!$J$2:$J$501,0)),"")</f>
        <v>0</v>
      </c>
      <c r="E403" s="3" t="str">
        <f>IFERROR(INDEX(Input!$E$2:$E$501,MATCH(402,Input!$J$2:$J$501,0)),"")</f>
        <v>Skal Ikke ha</v>
      </c>
      <c r="F403" t="str">
        <f>IFERROR(INDEX(Input!$F$2:$F$501,MATCH(402,Input!$J$2:$J$501,0)),"")</f>
        <v>Nei</v>
      </c>
      <c r="G403" s="3" t="str">
        <f>IFERROR(INDEX(Input!$G$2:$G$501,MATCH(402,Input!$J$2:$J$501,0)),"")</f>
        <v>MANGLER</v>
      </c>
      <c r="H403" t="str">
        <f>IFERROR(INDEX(Input!$H$2:$H$501,MATCH(402,Input!$J$2:$J$501,0)),"")</f>
        <v>Nei</v>
      </c>
    </row>
    <row r="404" spans="1:8" x14ac:dyDescent="0.35">
      <c r="A404" t="str">
        <f>IFERROR(INDEX(Input!$A$2:$A$501,MATCH(403,Input!$J$2:$J$501,0)),"")</f>
        <v>Machine components</v>
      </c>
      <c r="B404" t="str">
        <f>IFERROR(INDEX(Input!$B$2:$B$501,MATCH(403,Input!$J$2:$J$501,0)),"")</f>
        <v>Motor Housing</v>
      </c>
      <c r="C404" t="str">
        <f>IFERROR(INDEX(Input!$C$2:$C$501,MATCH(403,Input!$J$2:$J$501,0)),"")</f>
        <v>Normal</v>
      </c>
      <c r="D404">
        <f>IFERROR(INDEX(Input!$D$2:$D$501,MATCH(403,Input!$J$2:$J$501,0)),"")</f>
        <v>0</v>
      </c>
      <c r="E404" s="3" t="str">
        <f>IFERROR(INDEX(Input!$E$2:$E$501,MATCH(403,Input!$J$2:$J$501,0)),"")</f>
        <v>Skal Ikke ha</v>
      </c>
      <c r="F404" t="str">
        <f>IFERROR(INDEX(Input!$F$2:$F$501,MATCH(403,Input!$J$2:$J$501,0)),"")</f>
        <v>Nei</v>
      </c>
      <c r="G404" s="3" t="str">
        <f>IFERROR(INDEX(Input!$G$2:$G$501,MATCH(403,Input!$J$2:$J$501,0)),"")</f>
        <v>MANGLER</v>
      </c>
      <c r="H404" t="str">
        <f>IFERROR(INDEX(Input!$H$2:$H$501,MATCH(403,Input!$J$2:$J$501,0)),"")</f>
        <v>Nei</v>
      </c>
    </row>
    <row r="405" spans="1:8" x14ac:dyDescent="0.35">
      <c r="A405" t="str">
        <f>IFERROR(INDEX(Input!$A$2:$A$501,MATCH(404,Input!$J$2:$J$501,0)),"")</f>
        <v>Machine components</v>
      </c>
      <c r="B405" t="str">
        <f>IFERROR(INDEX(Input!$B$2:$B$501,MATCH(404,Input!$J$2:$J$501,0)),"")</f>
        <v>Motor Housing</v>
      </c>
      <c r="C405" t="str">
        <f>IFERROR(INDEX(Input!$C$2:$C$501,MATCH(404,Input!$J$2:$J$501,0)),"")</f>
        <v>Large</v>
      </c>
      <c r="D405">
        <f>IFERROR(INDEX(Input!$D$2:$D$501,MATCH(404,Input!$J$2:$J$501,0)),"")</f>
        <v>0</v>
      </c>
      <c r="E405" s="3" t="str">
        <f>IFERROR(INDEX(Input!$E$2:$E$501,MATCH(404,Input!$J$2:$J$501,0)),"")</f>
        <v>Skal Ikke ha</v>
      </c>
      <c r="F405" t="str">
        <f>IFERROR(INDEX(Input!$F$2:$F$501,MATCH(404,Input!$J$2:$J$501,0)),"")</f>
        <v>Nei</v>
      </c>
      <c r="G405" s="3" t="str">
        <f>IFERROR(INDEX(Input!$G$2:$G$501,MATCH(404,Input!$J$2:$J$501,0)),"")</f>
        <v>MANGLER</v>
      </c>
      <c r="H405" t="str">
        <f>IFERROR(INDEX(Input!$H$2:$H$501,MATCH(404,Input!$J$2:$J$501,0)),"")</f>
        <v>Nei</v>
      </c>
    </row>
    <row r="406" spans="1:8" x14ac:dyDescent="0.35">
      <c r="A406" t="str">
        <f>IFERROR(INDEX(Input!$A$2:$A$501,MATCH(405,Input!$J$2:$J$501,0)),"")</f>
        <v>Machine components</v>
      </c>
      <c r="B406" t="str">
        <f>IFERROR(INDEX(Input!$B$2:$B$501,MATCH(405,Input!$J$2:$J$501,0)),"")</f>
        <v>Motor Housing</v>
      </c>
      <c r="C406" t="str">
        <f>IFERROR(INDEX(Input!$C$2:$C$501,MATCH(405,Input!$J$2:$J$501,0)),"")</f>
        <v>Huge</v>
      </c>
      <c r="D406">
        <f>IFERROR(INDEX(Input!$D$2:$D$501,MATCH(405,Input!$J$2:$J$501,0)),"")</f>
        <v>0</v>
      </c>
      <c r="E406" s="3" t="str">
        <f>IFERROR(INDEX(Input!$E$2:$E$501,MATCH(405,Input!$J$2:$J$501,0)),"")</f>
        <v>Skal Ikke ha</v>
      </c>
      <c r="F406" t="str">
        <f>IFERROR(INDEX(Input!$F$2:$F$501,MATCH(405,Input!$J$2:$J$501,0)),"")</f>
        <v>Nei</v>
      </c>
      <c r="G406" s="3" t="str">
        <f>IFERROR(INDEX(Input!$G$2:$G$501,MATCH(405,Input!$J$2:$J$501,0)),"")</f>
        <v>MANGLER</v>
      </c>
      <c r="H406" t="str">
        <f>IFERROR(INDEX(Input!$H$2:$H$501,MATCH(405,Input!$J$2:$J$501,0)),"")</f>
        <v>Nei</v>
      </c>
    </row>
    <row r="407" spans="1:8" x14ac:dyDescent="0.35">
      <c r="A407" t="str">
        <f>IFERROR(INDEX(Input!$A$2:$A$501,MATCH(406,Input!$J$2:$J$501,0)),"")</f>
        <v>Machine components</v>
      </c>
      <c r="B407" t="str">
        <f>IFERROR(INDEX(Input!$B$2:$B$501,MATCH(406,Input!$J$2:$J$501,0)),"")</f>
        <v>Motor Shaft</v>
      </c>
      <c r="C407" t="str">
        <f>IFERROR(INDEX(Input!$C$2:$C$501,MATCH(406,Input!$J$2:$J$501,0)),"")</f>
        <v>Tiny</v>
      </c>
      <c r="D407">
        <f>IFERROR(INDEX(Input!$D$2:$D$501,MATCH(406,Input!$J$2:$J$501,0)),"")</f>
        <v>0</v>
      </c>
      <c r="E407" s="3" t="str">
        <f>IFERROR(INDEX(Input!$E$2:$E$501,MATCH(406,Input!$J$2:$J$501,0)),"")</f>
        <v>Skal Ikke ha</v>
      </c>
      <c r="F407" t="str">
        <f>IFERROR(INDEX(Input!$F$2:$F$501,MATCH(406,Input!$J$2:$J$501,0)),"")</f>
        <v>Nei</v>
      </c>
      <c r="G407" s="3" t="str">
        <f>IFERROR(INDEX(Input!$G$2:$G$501,MATCH(406,Input!$J$2:$J$501,0)),"")</f>
        <v>MANGLER</v>
      </c>
      <c r="H407" t="str">
        <f>IFERROR(INDEX(Input!$H$2:$H$501,MATCH(406,Input!$J$2:$J$501,0)),"")</f>
        <v>Nei</v>
      </c>
    </row>
    <row r="408" spans="1:8" x14ac:dyDescent="0.35">
      <c r="A408" t="str">
        <f>IFERROR(INDEX(Input!$A$2:$A$501,MATCH(407,Input!$J$2:$J$501,0)),"")</f>
        <v>Machine components</v>
      </c>
      <c r="B408" t="str">
        <f>IFERROR(INDEX(Input!$B$2:$B$501,MATCH(407,Input!$J$2:$J$501,0)),"")</f>
        <v>Motor Shaft</v>
      </c>
      <c r="C408" t="str">
        <f>IFERROR(INDEX(Input!$C$2:$C$501,MATCH(407,Input!$J$2:$J$501,0)),"")</f>
        <v>Small</v>
      </c>
      <c r="D408">
        <f>IFERROR(INDEX(Input!$D$2:$D$501,MATCH(407,Input!$J$2:$J$501,0)),"")</f>
        <v>0</v>
      </c>
      <c r="E408" s="3" t="str">
        <f>IFERROR(INDEX(Input!$E$2:$E$501,MATCH(407,Input!$J$2:$J$501,0)),"")</f>
        <v>Skal Ikke ha</v>
      </c>
      <c r="F408" t="str">
        <f>IFERROR(INDEX(Input!$F$2:$F$501,MATCH(407,Input!$J$2:$J$501,0)),"")</f>
        <v>Nei</v>
      </c>
      <c r="G408" s="3" t="str">
        <f>IFERROR(INDEX(Input!$G$2:$G$501,MATCH(407,Input!$J$2:$J$501,0)),"")</f>
        <v>MANGLER</v>
      </c>
      <c r="H408" t="str">
        <f>IFERROR(INDEX(Input!$H$2:$H$501,MATCH(407,Input!$J$2:$J$501,0)),"")</f>
        <v>Nei</v>
      </c>
    </row>
    <row r="409" spans="1:8" x14ac:dyDescent="0.35">
      <c r="A409" t="str">
        <f>IFERROR(INDEX(Input!$A$2:$A$501,MATCH(408,Input!$J$2:$J$501,0)),"")</f>
        <v>Machine components</v>
      </c>
      <c r="B409" t="str">
        <f>IFERROR(INDEX(Input!$B$2:$B$501,MATCH(408,Input!$J$2:$J$501,0)),"")</f>
        <v>Motor Shaft</v>
      </c>
      <c r="C409" t="str">
        <f>IFERROR(INDEX(Input!$C$2:$C$501,MATCH(408,Input!$J$2:$J$501,0)),"")</f>
        <v>Normal</v>
      </c>
      <c r="D409">
        <f>IFERROR(INDEX(Input!$D$2:$D$501,MATCH(408,Input!$J$2:$J$501,0)),"")</f>
        <v>0</v>
      </c>
      <c r="E409" s="3" t="str">
        <f>IFERROR(INDEX(Input!$E$2:$E$501,MATCH(408,Input!$J$2:$J$501,0)),"")</f>
        <v>Skal Ikke ha</v>
      </c>
      <c r="F409" t="str">
        <f>IFERROR(INDEX(Input!$F$2:$F$501,MATCH(408,Input!$J$2:$J$501,0)),"")</f>
        <v>Nei</v>
      </c>
      <c r="G409" s="3" t="str">
        <f>IFERROR(INDEX(Input!$G$2:$G$501,MATCH(408,Input!$J$2:$J$501,0)),"")</f>
        <v>MANGLER</v>
      </c>
      <c r="H409" t="str">
        <f>IFERROR(INDEX(Input!$H$2:$H$501,MATCH(408,Input!$J$2:$J$501,0)),"")</f>
        <v>Nei</v>
      </c>
    </row>
    <row r="410" spans="1:8" x14ac:dyDescent="0.35">
      <c r="A410" t="str">
        <f>IFERROR(INDEX(Input!$A$2:$A$501,MATCH(409,Input!$J$2:$J$501,0)),"")</f>
        <v>Machine components</v>
      </c>
      <c r="B410" t="str">
        <f>IFERROR(INDEX(Input!$B$2:$B$501,MATCH(409,Input!$J$2:$J$501,0)),"")</f>
        <v>Motor Shaft</v>
      </c>
      <c r="C410" t="str">
        <f>IFERROR(INDEX(Input!$C$2:$C$501,MATCH(409,Input!$J$2:$J$501,0)),"")</f>
        <v>Large</v>
      </c>
      <c r="D410">
        <f>IFERROR(INDEX(Input!$D$2:$D$501,MATCH(409,Input!$J$2:$J$501,0)),"")</f>
        <v>0</v>
      </c>
      <c r="E410" s="3" t="str">
        <f>IFERROR(INDEX(Input!$E$2:$E$501,MATCH(409,Input!$J$2:$J$501,0)),"")</f>
        <v>Skal Ikke ha</v>
      </c>
      <c r="F410" t="str">
        <f>IFERROR(INDEX(Input!$F$2:$F$501,MATCH(409,Input!$J$2:$J$501,0)),"")</f>
        <v>Nei</v>
      </c>
      <c r="G410" s="3" t="str">
        <f>IFERROR(INDEX(Input!$G$2:$G$501,MATCH(409,Input!$J$2:$J$501,0)),"")</f>
        <v>MANGLER</v>
      </c>
      <c r="H410" t="str">
        <f>IFERROR(INDEX(Input!$H$2:$H$501,MATCH(409,Input!$J$2:$J$501,0)),"")</f>
        <v>Nei</v>
      </c>
    </row>
    <row r="411" spans="1:8" x14ac:dyDescent="0.35">
      <c r="A411" t="str">
        <f>IFERROR(INDEX(Input!$A$2:$A$501,MATCH(410,Input!$J$2:$J$501,0)),"")</f>
        <v>Machine components</v>
      </c>
      <c r="B411" t="str">
        <f>IFERROR(INDEX(Input!$B$2:$B$501,MATCH(410,Input!$J$2:$J$501,0)),"")</f>
        <v>Motor Shaft</v>
      </c>
      <c r="C411" t="str">
        <f>IFERROR(INDEX(Input!$C$2:$C$501,MATCH(410,Input!$J$2:$J$501,0)),"")</f>
        <v>Huge</v>
      </c>
      <c r="D411">
        <f>IFERROR(INDEX(Input!$D$2:$D$501,MATCH(410,Input!$J$2:$J$501,0)),"")</f>
        <v>0</v>
      </c>
      <c r="E411" s="3" t="str">
        <f>IFERROR(INDEX(Input!$E$2:$E$501,MATCH(410,Input!$J$2:$J$501,0)),"")</f>
        <v>Skal Ikke ha</v>
      </c>
      <c r="F411" t="str">
        <f>IFERROR(INDEX(Input!$F$2:$F$501,MATCH(410,Input!$J$2:$J$501,0)),"")</f>
        <v>Nei</v>
      </c>
      <c r="G411" s="3" t="str">
        <f>IFERROR(INDEX(Input!$G$2:$G$501,MATCH(410,Input!$J$2:$J$501,0)),"")</f>
        <v>MANGLER</v>
      </c>
      <c r="H411" t="str">
        <f>IFERROR(INDEX(Input!$H$2:$H$501,MATCH(410,Input!$J$2:$J$501,0)),"")</f>
        <v>Nei</v>
      </c>
    </row>
    <row r="412" spans="1:8" x14ac:dyDescent="0.35">
      <c r="A412" t="str">
        <f>IFERROR(INDEX(Input!$A$2:$A$501,MATCH(411,Input!$J$2:$J$501,0)),"")</f>
        <v>Machine components</v>
      </c>
      <c r="B412" t="str">
        <f>IFERROR(INDEX(Input!$B$2:$B$501,MATCH(411,Input!$J$2:$J$501,0)),"")</f>
        <v>Motor</v>
      </c>
      <c r="C412" t="str">
        <f>IFERROR(INDEX(Input!$C$2:$C$501,MATCH(411,Input!$J$2:$J$501,0)),"")</f>
        <v>Tiny</v>
      </c>
      <c r="D412">
        <f>IFERROR(INDEX(Input!$D$2:$D$501,MATCH(411,Input!$J$2:$J$501,0)),"")</f>
        <v>0</v>
      </c>
      <c r="E412" s="3" t="str">
        <f>IFERROR(INDEX(Input!$E$2:$E$501,MATCH(411,Input!$J$2:$J$501,0)),"")</f>
        <v>Skal Ikke ha</v>
      </c>
      <c r="F412" t="str">
        <f>IFERROR(INDEX(Input!$F$2:$F$501,MATCH(411,Input!$J$2:$J$501,0)),"")</f>
        <v>Nei</v>
      </c>
      <c r="G412" s="3" t="str">
        <f>IFERROR(INDEX(Input!$G$2:$G$501,MATCH(411,Input!$J$2:$J$501,0)),"")</f>
        <v>MANGLER</v>
      </c>
      <c r="H412" t="str">
        <f>IFERROR(INDEX(Input!$H$2:$H$501,MATCH(411,Input!$J$2:$J$501,0)),"")</f>
        <v>Nei</v>
      </c>
    </row>
    <row r="413" spans="1:8" x14ac:dyDescent="0.35">
      <c r="A413" t="str">
        <f>IFERROR(INDEX(Input!$A$2:$A$501,MATCH(412,Input!$J$2:$J$501,0)),"")</f>
        <v>Machine components</v>
      </c>
      <c r="B413" t="str">
        <f>IFERROR(INDEX(Input!$B$2:$B$501,MATCH(412,Input!$J$2:$J$501,0)),"")</f>
        <v>Motor</v>
      </c>
      <c r="C413" t="str">
        <f>IFERROR(INDEX(Input!$C$2:$C$501,MATCH(412,Input!$J$2:$J$501,0)),"")</f>
        <v>Small</v>
      </c>
      <c r="D413">
        <f>IFERROR(INDEX(Input!$D$2:$D$501,MATCH(412,Input!$J$2:$J$501,0)),"")</f>
        <v>0</v>
      </c>
      <c r="E413" s="3" t="str">
        <f>IFERROR(INDEX(Input!$E$2:$E$501,MATCH(412,Input!$J$2:$J$501,0)),"")</f>
        <v>Skal Ikke ha</v>
      </c>
      <c r="F413" t="str">
        <f>IFERROR(INDEX(Input!$F$2:$F$501,MATCH(412,Input!$J$2:$J$501,0)),"")</f>
        <v>Nei</v>
      </c>
      <c r="G413" s="3" t="str">
        <f>IFERROR(INDEX(Input!$G$2:$G$501,MATCH(412,Input!$J$2:$J$501,0)),"")</f>
        <v>MANGLER</v>
      </c>
      <c r="H413" t="str">
        <f>IFERROR(INDEX(Input!$H$2:$H$501,MATCH(412,Input!$J$2:$J$501,0)),"")</f>
        <v>Nei</v>
      </c>
    </row>
    <row r="414" spans="1:8" x14ac:dyDescent="0.35">
      <c r="A414" t="str">
        <f>IFERROR(INDEX(Input!$A$2:$A$501,MATCH(413,Input!$J$2:$J$501,0)),"")</f>
        <v>Machine components</v>
      </c>
      <c r="B414" t="str">
        <f>IFERROR(INDEX(Input!$B$2:$B$501,MATCH(413,Input!$J$2:$J$501,0)),"")</f>
        <v>Motor</v>
      </c>
      <c r="C414" t="str">
        <f>IFERROR(INDEX(Input!$C$2:$C$501,MATCH(413,Input!$J$2:$J$501,0)),"")</f>
        <v>Normal</v>
      </c>
      <c r="D414">
        <f>IFERROR(INDEX(Input!$D$2:$D$501,MATCH(413,Input!$J$2:$J$501,0)),"")</f>
        <v>0</v>
      </c>
      <c r="E414" s="3" t="str">
        <f>IFERROR(INDEX(Input!$E$2:$E$501,MATCH(413,Input!$J$2:$J$501,0)),"")</f>
        <v>Skal Ikke ha</v>
      </c>
      <c r="F414" t="str">
        <f>IFERROR(INDEX(Input!$F$2:$F$501,MATCH(413,Input!$J$2:$J$501,0)),"")</f>
        <v>Nei</v>
      </c>
      <c r="G414" s="3" t="str">
        <f>IFERROR(INDEX(Input!$G$2:$G$501,MATCH(413,Input!$J$2:$J$501,0)),"")</f>
        <v>MANGLER</v>
      </c>
      <c r="H414" t="str">
        <f>IFERROR(INDEX(Input!$H$2:$H$501,MATCH(413,Input!$J$2:$J$501,0)),"")</f>
        <v>Nei</v>
      </c>
    </row>
    <row r="415" spans="1:8" x14ac:dyDescent="0.35">
      <c r="A415" t="str">
        <f>IFERROR(INDEX(Input!$A$2:$A$501,MATCH(414,Input!$J$2:$J$501,0)),"")</f>
        <v>Machine components</v>
      </c>
      <c r="B415" t="str">
        <f>IFERROR(INDEX(Input!$B$2:$B$501,MATCH(414,Input!$J$2:$J$501,0)),"")</f>
        <v>Motor</v>
      </c>
      <c r="C415" t="str">
        <f>IFERROR(INDEX(Input!$C$2:$C$501,MATCH(414,Input!$J$2:$J$501,0)),"")</f>
        <v>Large</v>
      </c>
      <c r="D415">
        <f>IFERROR(INDEX(Input!$D$2:$D$501,MATCH(414,Input!$J$2:$J$501,0)),"")</f>
        <v>0</v>
      </c>
      <c r="E415" s="3" t="str">
        <f>IFERROR(INDEX(Input!$E$2:$E$501,MATCH(414,Input!$J$2:$J$501,0)),"")</f>
        <v>Skal Ikke ha</v>
      </c>
      <c r="F415" t="str">
        <f>IFERROR(INDEX(Input!$F$2:$F$501,MATCH(414,Input!$J$2:$J$501,0)),"")</f>
        <v>Nei</v>
      </c>
      <c r="G415" s="3" t="str">
        <f>IFERROR(INDEX(Input!$G$2:$G$501,MATCH(414,Input!$J$2:$J$501,0)),"")</f>
        <v>MANGLER</v>
      </c>
      <c r="H415" t="str">
        <f>IFERROR(INDEX(Input!$H$2:$H$501,MATCH(414,Input!$J$2:$J$501,0)),"")</f>
        <v>Nei</v>
      </c>
    </row>
    <row r="416" spans="1:8" x14ac:dyDescent="0.35">
      <c r="A416" t="str">
        <f>IFERROR(INDEX(Input!$A$2:$A$501,MATCH(415,Input!$J$2:$J$501,0)),"")</f>
        <v>Machine components</v>
      </c>
      <c r="B416" t="str">
        <f>IFERROR(INDEX(Input!$B$2:$B$501,MATCH(415,Input!$J$2:$J$501,0)),"")</f>
        <v>Motor</v>
      </c>
      <c r="C416" t="str">
        <f>IFERROR(INDEX(Input!$C$2:$C$501,MATCH(415,Input!$J$2:$J$501,0)),"")</f>
        <v>Huge</v>
      </c>
      <c r="D416">
        <f>IFERROR(INDEX(Input!$D$2:$D$501,MATCH(415,Input!$J$2:$J$501,0)),"")</f>
        <v>0</v>
      </c>
      <c r="E416" s="3" t="str">
        <f>IFERROR(INDEX(Input!$E$2:$E$501,MATCH(415,Input!$J$2:$J$501,0)),"")</f>
        <v>Skal Ikke ha</v>
      </c>
      <c r="F416" t="str">
        <f>IFERROR(INDEX(Input!$F$2:$F$501,MATCH(415,Input!$J$2:$J$501,0)),"")</f>
        <v>Nei</v>
      </c>
      <c r="G416" s="3" t="str">
        <f>IFERROR(INDEX(Input!$G$2:$G$501,MATCH(415,Input!$J$2:$J$501,0)),"")</f>
        <v>MANGLER</v>
      </c>
      <c r="H416" t="str">
        <f>IFERROR(INDEX(Input!$H$2:$H$501,MATCH(415,Input!$J$2:$J$501,0)),"")</f>
        <v>Nei</v>
      </c>
    </row>
    <row r="417" spans="1:8" x14ac:dyDescent="0.35">
      <c r="A417" t="str">
        <f>IFERROR(INDEX(Input!$A$2:$A$501,MATCH(416,Input!$J$2:$J$501,0)),"")</f>
        <v>Materialformer</v>
      </c>
      <c r="B417" t="str">
        <f>IFERROR(INDEX(Input!$B$2:$B$501,MATCH(416,Input!$J$2:$J$501,0)),"")</f>
        <v>Nugget Hot</v>
      </c>
      <c r="C417" t="str">
        <f>IFERROR(INDEX(Input!$C$2:$C$501,MATCH(416,Input!$J$2:$J$501,0)),"")</f>
        <v>Standerd</v>
      </c>
      <c r="D417">
        <f>IFERROR(INDEX(Input!$D$2:$D$501,MATCH(416,Input!$J$2:$J$501,0)),"")</f>
        <v>6</v>
      </c>
      <c r="E417" s="3" t="str">
        <f>IFERROR(INDEX(Input!$E$2:$E$501,MATCH(416,Input!$J$2:$J$501,0)),"")</f>
        <v>Skal Ikke ha</v>
      </c>
      <c r="F417" t="str">
        <f>IFERROR(INDEX(Input!$F$2:$F$501,MATCH(416,Input!$J$2:$J$501,0)),"")</f>
        <v>Ja</v>
      </c>
      <c r="G417" s="3" t="str">
        <f>IFERROR(INDEX(Input!$G$2:$G$501,MATCH(416,Input!$J$2:$J$501,0)),"")</f>
        <v>MANGLER</v>
      </c>
      <c r="H417" t="str">
        <f>IFERROR(INDEX(Input!$H$2:$H$501,MATCH(416,Input!$J$2:$J$501,0)),"")</f>
        <v>Nei</v>
      </c>
    </row>
    <row r="418" spans="1:8" x14ac:dyDescent="0.35">
      <c r="A418" t="str">
        <f>IFERROR(INDEX(Input!$A$2:$A$501,MATCH(417,Input!$J$2:$J$501,0)),"")</f>
        <v>Materialformer</v>
      </c>
      <c r="B418" t="str">
        <f>IFERROR(INDEX(Input!$B$2:$B$501,MATCH(417,Input!$J$2:$J$501,0)),"")</f>
        <v>Nugget</v>
      </c>
      <c r="C418" t="str">
        <f>IFERROR(INDEX(Input!$C$2:$C$501,MATCH(417,Input!$J$2:$J$501,0)),"")</f>
        <v>Standerd</v>
      </c>
      <c r="D418">
        <f>IFERROR(INDEX(Input!$D$2:$D$501,MATCH(417,Input!$J$2:$J$501,0)),"")</f>
        <v>6</v>
      </c>
      <c r="E418" s="3" t="str">
        <f>IFERROR(INDEX(Input!$E$2:$E$501,MATCH(417,Input!$J$2:$J$501,0)),"")</f>
        <v>Ja</v>
      </c>
      <c r="F418" t="str">
        <f>IFERROR(INDEX(Input!$F$2:$F$501,MATCH(417,Input!$J$2:$J$501,0)),"")</f>
        <v>Ja</v>
      </c>
      <c r="G418" s="3" t="str">
        <f>IFERROR(INDEX(Input!$G$2:$G$501,MATCH(417,Input!$J$2:$J$501,0)),"")</f>
        <v>MANGLER</v>
      </c>
      <c r="H418" t="str">
        <f>IFERROR(INDEX(Input!$H$2:$H$501,MATCH(417,Input!$J$2:$J$501,0)),"")</f>
        <v>Nei</v>
      </c>
    </row>
    <row r="419" spans="1:8" x14ac:dyDescent="0.35">
      <c r="A419" t="str">
        <f>IFERROR(INDEX(Input!$A$2:$A$501,MATCH(418,Input!$J$2:$J$501,0)),"")</f>
        <v>Ore processing</v>
      </c>
      <c r="B419" t="str">
        <f>IFERROR(INDEX(Input!$B$2:$B$501,MATCH(418,Input!$J$2:$J$501,0)),"")</f>
        <v>Ore</v>
      </c>
      <c r="C419" t="str">
        <f>IFERROR(INDEX(Input!$C$2:$C$501,MATCH(418,Input!$J$2:$J$501,0)),"")</f>
        <v>Small</v>
      </c>
      <c r="D419">
        <f>IFERROR(INDEX(Input!$D$2:$D$501,MATCH(418,Input!$J$2:$J$501,0)),"")</f>
        <v>9</v>
      </c>
      <c r="E419" s="3" t="str">
        <f>IFERROR(INDEX(Input!$E$2:$E$501,MATCH(418,Input!$J$2:$J$501,0)),"")</f>
        <v>Skal Ikke ha</v>
      </c>
      <c r="F419" t="str">
        <f>IFERROR(INDEX(Input!$F$2:$F$501,MATCH(418,Input!$J$2:$J$501,0)),"")</f>
        <v>Ja</v>
      </c>
      <c r="G419" s="3" t="str">
        <f>IFERROR(INDEX(Input!$G$2:$G$501,MATCH(418,Input!$J$2:$J$501,0)),"")</f>
        <v>MANGLER</v>
      </c>
      <c r="H419" t="str">
        <f>IFERROR(INDEX(Input!$H$2:$H$501,MATCH(418,Input!$J$2:$J$501,0)),"")</f>
        <v>Nei</v>
      </c>
    </row>
    <row r="420" spans="1:8" x14ac:dyDescent="0.35">
      <c r="A420" t="str">
        <f>IFERROR(INDEX(Input!$A$2:$A$501,MATCH(419,Input!$J$2:$J$501,0)),"")</f>
        <v>Ore processing</v>
      </c>
      <c r="B420" t="str">
        <f>IFERROR(INDEX(Input!$B$2:$B$501,MATCH(419,Input!$J$2:$J$501,0)),"")</f>
        <v>Ore</v>
      </c>
      <c r="C420" t="str">
        <f>IFERROR(INDEX(Input!$C$2:$C$501,MATCH(419,Input!$J$2:$J$501,0)),"")</f>
        <v>Normal</v>
      </c>
      <c r="D420">
        <f>IFERROR(INDEX(Input!$D$2:$D$501,MATCH(419,Input!$J$2:$J$501,0)),"")</f>
        <v>9</v>
      </c>
      <c r="E420" s="3" t="str">
        <f>IFERROR(INDEX(Input!$E$2:$E$501,MATCH(419,Input!$J$2:$J$501,0)),"")</f>
        <v>Skal Ikke ha</v>
      </c>
      <c r="F420" t="str">
        <f>IFERROR(INDEX(Input!$F$2:$F$501,MATCH(419,Input!$J$2:$J$501,0)),"")</f>
        <v>Ja</v>
      </c>
      <c r="G420" s="3" t="str">
        <f>IFERROR(INDEX(Input!$G$2:$G$501,MATCH(419,Input!$J$2:$J$501,0)),"")</f>
        <v>MANGLER</v>
      </c>
      <c r="H420" t="str">
        <f>IFERROR(INDEX(Input!$H$2:$H$501,MATCH(419,Input!$J$2:$J$501,0)),"")</f>
        <v>Nei</v>
      </c>
    </row>
    <row r="421" spans="1:8" x14ac:dyDescent="0.35">
      <c r="A421" t="str">
        <f>IFERROR(INDEX(Input!$A$2:$A$501,MATCH(420,Input!$J$2:$J$501,0)),"")</f>
        <v>Tool components</v>
      </c>
      <c r="B421" t="str">
        <f>IFERROR(INDEX(Input!$B$2:$B$501,MATCH(420,Input!$J$2:$J$501,0)),"")</f>
        <v>Pickaxe Head</v>
      </c>
      <c r="C421" t="str">
        <f>IFERROR(INDEX(Input!$C$2:$C$501,MATCH(420,Input!$J$2:$J$501,0)),"")</f>
        <v>Standard</v>
      </c>
      <c r="D421">
        <f>IFERROR(INDEX(Input!$D$2:$D$501,MATCH(420,Input!$J$2:$J$501,0)),"")</f>
        <v>0</v>
      </c>
      <c r="E421" s="3" t="str">
        <f>IFERROR(INDEX(Input!$E$2:$E$501,MATCH(420,Input!$J$2:$J$501,0)),"")</f>
        <v>Nei</v>
      </c>
      <c r="F421" t="str">
        <f>IFERROR(INDEX(Input!$F$2:$F$501,MATCH(420,Input!$J$2:$J$501,0)),"")</f>
        <v>Nei</v>
      </c>
      <c r="G421" s="3" t="str">
        <f>IFERROR(INDEX(Input!$G$2:$G$501,MATCH(420,Input!$J$2:$J$501,0)),"")</f>
        <v>MANGLER</v>
      </c>
      <c r="H421" t="str">
        <f>IFERROR(INDEX(Input!$H$2:$H$501,MATCH(420,Input!$J$2:$J$501,0)),"")</f>
        <v>Nei</v>
      </c>
    </row>
    <row r="422" spans="1:8" x14ac:dyDescent="0.35">
      <c r="A422" t="str">
        <f>IFERROR(INDEX(Input!$A$2:$A$501,MATCH(421,Input!$J$2:$J$501,0)),"")</f>
        <v>Machine components</v>
      </c>
      <c r="B422" t="str">
        <f>IFERROR(INDEX(Input!$B$2:$B$501,MATCH(421,Input!$J$2:$J$501,0)),"")</f>
        <v>Piston Rod</v>
      </c>
      <c r="C422" t="str">
        <f>IFERROR(INDEX(Input!$C$2:$C$501,MATCH(421,Input!$J$2:$J$501,0)),"")</f>
        <v>Tiny</v>
      </c>
      <c r="D422">
        <f>IFERROR(INDEX(Input!$D$2:$D$501,MATCH(421,Input!$J$2:$J$501,0)),"")</f>
        <v>0</v>
      </c>
      <c r="E422" s="3" t="str">
        <f>IFERROR(INDEX(Input!$E$2:$E$501,MATCH(421,Input!$J$2:$J$501,0)),"")</f>
        <v>Skal Ikke ha</v>
      </c>
      <c r="F422" t="str">
        <f>IFERROR(INDEX(Input!$F$2:$F$501,MATCH(421,Input!$J$2:$J$501,0)),"")</f>
        <v>Nei</v>
      </c>
      <c r="G422" s="3" t="str">
        <f>IFERROR(INDEX(Input!$G$2:$G$501,MATCH(421,Input!$J$2:$J$501,0)),"")</f>
        <v>MANGLER</v>
      </c>
      <c r="H422" t="str">
        <f>IFERROR(INDEX(Input!$H$2:$H$501,MATCH(421,Input!$J$2:$J$501,0)),"")</f>
        <v>Nei</v>
      </c>
    </row>
    <row r="423" spans="1:8" x14ac:dyDescent="0.35">
      <c r="A423" t="str">
        <f>IFERROR(INDEX(Input!$A$2:$A$501,MATCH(422,Input!$J$2:$J$501,0)),"")</f>
        <v>Machine components</v>
      </c>
      <c r="B423" t="str">
        <f>IFERROR(INDEX(Input!$B$2:$B$501,MATCH(422,Input!$J$2:$J$501,0)),"")</f>
        <v>Piston Rod</v>
      </c>
      <c r="C423" t="str">
        <f>IFERROR(INDEX(Input!$C$2:$C$501,MATCH(422,Input!$J$2:$J$501,0)),"")</f>
        <v>Small</v>
      </c>
      <c r="D423">
        <f>IFERROR(INDEX(Input!$D$2:$D$501,MATCH(422,Input!$J$2:$J$501,0)),"")</f>
        <v>0</v>
      </c>
      <c r="E423" s="3" t="str">
        <f>IFERROR(INDEX(Input!$E$2:$E$501,MATCH(422,Input!$J$2:$J$501,0)),"")</f>
        <v>Skal Ikke ha</v>
      </c>
      <c r="F423" t="str">
        <f>IFERROR(INDEX(Input!$F$2:$F$501,MATCH(422,Input!$J$2:$J$501,0)),"")</f>
        <v>Nei</v>
      </c>
      <c r="G423" s="3" t="str">
        <f>IFERROR(INDEX(Input!$G$2:$G$501,MATCH(422,Input!$J$2:$J$501,0)),"")</f>
        <v>MANGLER</v>
      </c>
      <c r="H423" t="str">
        <f>IFERROR(INDEX(Input!$H$2:$H$501,MATCH(422,Input!$J$2:$J$501,0)),"")</f>
        <v>Nei</v>
      </c>
    </row>
    <row r="424" spans="1:8" x14ac:dyDescent="0.35">
      <c r="A424" t="str">
        <f>IFERROR(INDEX(Input!$A$2:$A$501,MATCH(423,Input!$J$2:$J$501,0)),"")</f>
        <v>Machine components</v>
      </c>
      <c r="B424" t="str">
        <f>IFERROR(INDEX(Input!$B$2:$B$501,MATCH(423,Input!$J$2:$J$501,0)),"")</f>
        <v>Piston Rod</v>
      </c>
      <c r="C424" t="str">
        <f>IFERROR(INDEX(Input!$C$2:$C$501,MATCH(423,Input!$J$2:$J$501,0)),"")</f>
        <v>normal</v>
      </c>
      <c r="D424">
        <f>IFERROR(INDEX(Input!$D$2:$D$501,MATCH(423,Input!$J$2:$J$501,0)),"")</f>
        <v>0</v>
      </c>
      <c r="E424" s="3" t="str">
        <f>IFERROR(INDEX(Input!$E$2:$E$501,MATCH(423,Input!$J$2:$J$501,0)),"")</f>
        <v>Skal Ikke ha</v>
      </c>
      <c r="F424" t="str">
        <f>IFERROR(INDEX(Input!$F$2:$F$501,MATCH(423,Input!$J$2:$J$501,0)),"")</f>
        <v>Nei</v>
      </c>
      <c r="G424" s="3" t="str">
        <f>IFERROR(INDEX(Input!$G$2:$G$501,MATCH(423,Input!$J$2:$J$501,0)),"")</f>
        <v>MANGLER</v>
      </c>
      <c r="H424" t="str">
        <f>IFERROR(INDEX(Input!$H$2:$H$501,MATCH(423,Input!$J$2:$J$501,0)),"")</f>
        <v>Ja</v>
      </c>
    </row>
    <row r="425" spans="1:8" x14ac:dyDescent="0.35">
      <c r="A425" t="str">
        <f>IFERROR(INDEX(Input!$A$2:$A$501,MATCH(424,Input!$J$2:$J$501,0)),"")</f>
        <v>Machine components</v>
      </c>
      <c r="B425" t="str">
        <f>IFERROR(INDEX(Input!$B$2:$B$501,MATCH(424,Input!$J$2:$J$501,0)),"")</f>
        <v>Piston Rod</v>
      </c>
      <c r="C425" t="str">
        <f>IFERROR(INDEX(Input!$C$2:$C$501,MATCH(424,Input!$J$2:$J$501,0)),"")</f>
        <v>Large</v>
      </c>
      <c r="D425">
        <f>IFERROR(INDEX(Input!$D$2:$D$501,MATCH(424,Input!$J$2:$J$501,0)),"")</f>
        <v>0</v>
      </c>
      <c r="E425" s="3" t="str">
        <f>IFERROR(INDEX(Input!$E$2:$E$501,MATCH(424,Input!$J$2:$J$501,0)),"")</f>
        <v>Skal Ikke ha</v>
      </c>
      <c r="F425" t="str">
        <f>IFERROR(INDEX(Input!$F$2:$F$501,MATCH(424,Input!$J$2:$J$501,0)),"")</f>
        <v>Nei</v>
      </c>
      <c r="G425" s="3" t="str">
        <f>IFERROR(INDEX(Input!$G$2:$G$501,MATCH(424,Input!$J$2:$J$501,0)),"")</f>
        <v>MANGLER</v>
      </c>
      <c r="H425" t="str">
        <f>IFERROR(INDEX(Input!$H$2:$H$501,MATCH(424,Input!$J$2:$J$501,0)),"")</f>
        <v>Nei</v>
      </c>
    </row>
    <row r="426" spans="1:8" x14ac:dyDescent="0.35">
      <c r="A426" t="str">
        <f>IFERROR(INDEX(Input!$A$2:$A$501,MATCH(425,Input!$J$2:$J$501,0)),"")</f>
        <v>Machine components</v>
      </c>
      <c r="B426" t="str">
        <f>IFERROR(INDEX(Input!$B$2:$B$501,MATCH(425,Input!$J$2:$J$501,0)),"")</f>
        <v>Piston Rod</v>
      </c>
      <c r="C426" t="str">
        <f>IFERROR(INDEX(Input!$C$2:$C$501,MATCH(425,Input!$J$2:$J$501,0)),"")</f>
        <v>Huge</v>
      </c>
      <c r="D426">
        <f>IFERROR(INDEX(Input!$D$2:$D$501,MATCH(425,Input!$J$2:$J$501,0)),"")</f>
        <v>0</v>
      </c>
      <c r="E426" s="3" t="str">
        <f>IFERROR(INDEX(Input!$E$2:$E$501,MATCH(425,Input!$J$2:$J$501,0)),"")</f>
        <v>Skal Ikke ha</v>
      </c>
      <c r="F426" t="str">
        <f>IFERROR(INDEX(Input!$F$2:$F$501,MATCH(425,Input!$J$2:$J$501,0)),"")</f>
        <v>Nei</v>
      </c>
      <c r="G426" s="3" t="str">
        <f>IFERROR(INDEX(Input!$G$2:$G$501,MATCH(425,Input!$J$2:$J$501,0)),"")</f>
        <v>MANGLER</v>
      </c>
      <c r="H426" t="str">
        <f>IFERROR(INDEX(Input!$H$2:$H$501,MATCH(425,Input!$J$2:$J$501,0)),"")</f>
        <v>Nei</v>
      </c>
    </row>
    <row r="427" spans="1:8" x14ac:dyDescent="0.35">
      <c r="A427" t="str">
        <f>IFERROR(INDEX(Input!$A$2:$A$501,MATCH(426,Input!$J$2:$J$501,0)),"")</f>
        <v>Machine components</v>
      </c>
      <c r="B427" t="str">
        <f>IFERROR(INDEX(Input!$B$2:$B$501,MATCH(426,Input!$J$2:$J$501,0)),"")</f>
        <v>Piston</v>
      </c>
      <c r="C427" t="str">
        <f>IFERROR(INDEX(Input!$C$2:$C$501,MATCH(426,Input!$J$2:$J$501,0)),"")</f>
        <v>Tiny</v>
      </c>
      <c r="D427">
        <f>IFERROR(INDEX(Input!$D$2:$D$501,MATCH(426,Input!$J$2:$J$501,0)),"")</f>
        <v>0</v>
      </c>
      <c r="E427" s="3" t="str">
        <f>IFERROR(INDEX(Input!$E$2:$E$501,MATCH(426,Input!$J$2:$J$501,0)),"")</f>
        <v>Skal Ikke ha</v>
      </c>
      <c r="F427" t="str">
        <f>IFERROR(INDEX(Input!$F$2:$F$501,MATCH(426,Input!$J$2:$J$501,0)),"")</f>
        <v>Nei</v>
      </c>
      <c r="G427" s="3" t="str">
        <f>IFERROR(INDEX(Input!$G$2:$G$501,MATCH(426,Input!$J$2:$J$501,0)),"")</f>
        <v>MANGLER</v>
      </c>
      <c r="H427" t="str">
        <f>IFERROR(INDEX(Input!$H$2:$H$501,MATCH(426,Input!$J$2:$J$501,0)),"")</f>
        <v>Nei</v>
      </c>
    </row>
    <row r="428" spans="1:8" x14ac:dyDescent="0.35">
      <c r="A428" t="str">
        <f>IFERROR(INDEX(Input!$A$2:$A$501,MATCH(427,Input!$J$2:$J$501,0)),"")</f>
        <v>Machine components</v>
      </c>
      <c r="B428" t="str">
        <f>IFERROR(INDEX(Input!$B$2:$B$501,MATCH(427,Input!$J$2:$J$501,0)),"")</f>
        <v>Piston</v>
      </c>
      <c r="C428" t="str">
        <f>IFERROR(INDEX(Input!$C$2:$C$501,MATCH(427,Input!$J$2:$J$501,0)),"")</f>
        <v>Small</v>
      </c>
      <c r="D428">
        <f>IFERROR(INDEX(Input!$D$2:$D$501,MATCH(427,Input!$J$2:$J$501,0)),"")</f>
        <v>0</v>
      </c>
      <c r="E428" s="3" t="str">
        <f>IFERROR(INDEX(Input!$E$2:$E$501,MATCH(427,Input!$J$2:$J$501,0)),"")</f>
        <v>Skal Ikke ha</v>
      </c>
      <c r="F428" t="str">
        <f>IFERROR(INDEX(Input!$F$2:$F$501,MATCH(427,Input!$J$2:$J$501,0)),"")</f>
        <v>Nei</v>
      </c>
      <c r="G428" s="3" t="str">
        <f>IFERROR(INDEX(Input!$G$2:$G$501,MATCH(427,Input!$J$2:$J$501,0)),"")</f>
        <v>MANGLER</v>
      </c>
      <c r="H428" t="str">
        <f>IFERROR(INDEX(Input!$H$2:$H$501,MATCH(427,Input!$J$2:$J$501,0)),"")</f>
        <v>Nei</v>
      </c>
    </row>
    <row r="429" spans="1:8" x14ac:dyDescent="0.35">
      <c r="A429" t="str">
        <f>IFERROR(INDEX(Input!$A$2:$A$501,MATCH(428,Input!$J$2:$J$501,0)),"")</f>
        <v>Machine components</v>
      </c>
      <c r="B429" t="str">
        <f>IFERROR(INDEX(Input!$B$2:$B$501,MATCH(428,Input!$J$2:$J$501,0)),"")</f>
        <v>Piston</v>
      </c>
      <c r="C429" t="str">
        <f>IFERROR(INDEX(Input!$C$2:$C$501,MATCH(428,Input!$J$2:$J$501,0)),"")</f>
        <v>Normal</v>
      </c>
      <c r="D429">
        <f>IFERROR(INDEX(Input!$D$2:$D$501,MATCH(428,Input!$J$2:$J$501,0)),"")</f>
        <v>0</v>
      </c>
      <c r="E429" s="3" t="str">
        <f>IFERROR(INDEX(Input!$E$2:$E$501,MATCH(428,Input!$J$2:$J$501,0)),"")</f>
        <v>Skal Ikke ha</v>
      </c>
      <c r="F429" t="str">
        <f>IFERROR(INDEX(Input!$F$2:$F$501,MATCH(428,Input!$J$2:$J$501,0)),"")</f>
        <v>Nei</v>
      </c>
      <c r="G429" s="3" t="str">
        <f>IFERROR(INDEX(Input!$G$2:$G$501,MATCH(428,Input!$J$2:$J$501,0)),"")</f>
        <v>MANGLER</v>
      </c>
      <c r="H429" t="str">
        <f>IFERROR(INDEX(Input!$H$2:$H$501,MATCH(428,Input!$J$2:$J$501,0)),"")</f>
        <v>Nei</v>
      </c>
    </row>
    <row r="430" spans="1:8" x14ac:dyDescent="0.35">
      <c r="A430" t="str">
        <f>IFERROR(INDEX(Input!$A$2:$A$501,MATCH(429,Input!$J$2:$J$501,0)),"")</f>
        <v>Machine components</v>
      </c>
      <c r="B430" t="str">
        <f>IFERROR(INDEX(Input!$B$2:$B$501,MATCH(429,Input!$J$2:$J$501,0)),"")</f>
        <v>Piston</v>
      </c>
      <c r="C430" t="str">
        <f>IFERROR(INDEX(Input!$C$2:$C$501,MATCH(429,Input!$J$2:$J$501,0)),"")</f>
        <v>Large</v>
      </c>
      <c r="D430">
        <f>IFERROR(INDEX(Input!$D$2:$D$501,MATCH(429,Input!$J$2:$J$501,0)),"")</f>
        <v>0</v>
      </c>
      <c r="E430" s="3" t="str">
        <f>IFERROR(INDEX(Input!$E$2:$E$501,MATCH(429,Input!$J$2:$J$501,0)),"")</f>
        <v>Skal Ikke ha</v>
      </c>
      <c r="F430" t="str">
        <f>IFERROR(INDEX(Input!$F$2:$F$501,MATCH(429,Input!$J$2:$J$501,0)),"")</f>
        <v>Nei</v>
      </c>
      <c r="G430" s="3" t="str">
        <f>IFERROR(INDEX(Input!$G$2:$G$501,MATCH(429,Input!$J$2:$J$501,0)),"")</f>
        <v>MANGLER</v>
      </c>
      <c r="H430" t="str">
        <f>IFERROR(INDEX(Input!$H$2:$H$501,MATCH(429,Input!$J$2:$J$501,0)),"")</f>
        <v>Nei</v>
      </c>
    </row>
    <row r="431" spans="1:8" x14ac:dyDescent="0.35">
      <c r="A431" t="str">
        <f>IFERROR(INDEX(Input!$A$2:$A$501,MATCH(430,Input!$J$2:$J$501,0)),"")</f>
        <v>Machine components</v>
      </c>
      <c r="B431" t="str">
        <f>IFERROR(INDEX(Input!$B$2:$B$501,MATCH(430,Input!$J$2:$J$501,0)),"")</f>
        <v>Piston</v>
      </c>
      <c r="C431" t="str">
        <f>IFERROR(INDEX(Input!$C$2:$C$501,MATCH(430,Input!$J$2:$J$501,0)),"")</f>
        <v>Huge</v>
      </c>
      <c r="D431">
        <f>IFERROR(INDEX(Input!$D$2:$D$501,MATCH(430,Input!$J$2:$J$501,0)),"")</f>
        <v>0</v>
      </c>
      <c r="E431" s="3" t="str">
        <f>IFERROR(INDEX(Input!$E$2:$E$501,MATCH(430,Input!$J$2:$J$501,0)),"")</f>
        <v>Skal Ikke ha</v>
      </c>
      <c r="F431" t="str">
        <f>IFERROR(INDEX(Input!$F$2:$F$501,MATCH(430,Input!$J$2:$J$501,0)),"")</f>
        <v>Nei</v>
      </c>
      <c r="G431" s="3" t="str">
        <f>IFERROR(INDEX(Input!$G$2:$G$501,MATCH(430,Input!$J$2:$J$501,0)),"")</f>
        <v>MANGLER</v>
      </c>
      <c r="H431" t="str">
        <f>IFERROR(INDEX(Input!$H$2:$H$501,MATCH(430,Input!$J$2:$J$501,0)),"")</f>
        <v>Nei</v>
      </c>
    </row>
    <row r="432" spans="1:8" x14ac:dyDescent="0.35">
      <c r="A432" t="str">
        <f>IFERROR(INDEX(Input!$A$2:$A$501,MATCH(431,Input!$J$2:$J$501,0)),"")</f>
        <v>Fluids</v>
      </c>
      <c r="B432" t="str">
        <f>IFERROR(INDEX(Input!$B$2:$B$501,MATCH(431,Input!$J$2:$J$501,0)),"")</f>
        <v>Plasma</v>
      </c>
      <c r="C432" t="str">
        <f>IFERROR(INDEX(Input!$C$2:$C$501,MATCH(431,Input!$J$2:$J$501,0)),"")</f>
        <v>Standard</v>
      </c>
      <c r="D432">
        <f>IFERROR(INDEX(Input!$D$2:$D$501,MATCH(431,Input!$J$2:$J$501,0)),"")</f>
        <v>1</v>
      </c>
      <c r="E432" s="3" t="str">
        <f>IFERROR(INDEX(Input!$E$2:$E$501,MATCH(431,Input!$J$2:$J$501,0)),"")</f>
        <v>Skal Ikke ha</v>
      </c>
      <c r="F432" t="str">
        <f>IFERROR(INDEX(Input!$F$2:$F$501,MATCH(431,Input!$J$2:$J$501,0)),"")</f>
        <v>Ja</v>
      </c>
      <c r="G432" s="3" t="str">
        <f>IFERROR(INDEX(Input!$G$2:$G$501,MATCH(431,Input!$J$2:$J$501,0)),"")</f>
        <v>MANGLER</v>
      </c>
      <c r="H432" t="str">
        <f>IFERROR(INDEX(Input!$H$2:$H$501,MATCH(431,Input!$J$2:$J$501,0)),"")</f>
        <v>Nei</v>
      </c>
    </row>
    <row r="433" spans="1:8" x14ac:dyDescent="0.35">
      <c r="A433" t="str">
        <f>IFERROR(INDEX(Input!$A$2:$A$501,MATCH(432,Input!$J$2:$J$501,0)),"")</f>
        <v>Materialformer</v>
      </c>
      <c r="B433" t="str">
        <f>IFERROR(INDEX(Input!$B$2:$B$501,MATCH(432,Input!$J$2:$J$501,0)),"")</f>
        <v xml:space="preserve">Plate Dense </v>
      </c>
      <c r="C433" t="str">
        <f>IFERROR(INDEX(Input!$C$2:$C$501,MATCH(432,Input!$J$2:$J$501,0)),"")</f>
        <v>Normal</v>
      </c>
      <c r="D433">
        <f>IFERROR(INDEX(Input!$D$2:$D$501,MATCH(432,Input!$J$2:$J$501,0)),"")</f>
        <v>3</v>
      </c>
      <c r="E433" s="3" t="str">
        <f>IFERROR(INDEX(Input!$E$2:$E$501,MATCH(432,Input!$J$2:$J$501,0)),"")</f>
        <v>Skal Ikke ha</v>
      </c>
      <c r="F433" t="str">
        <f>IFERROR(INDEX(Input!$F$2:$F$501,MATCH(432,Input!$J$2:$J$501,0)),"")</f>
        <v>Ja</v>
      </c>
      <c r="G433" s="3" t="str">
        <f>IFERROR(INDEX(Input!$G$2:$G$501,MATCH(432,Input!$J$2:$J$501,0)),"")</f>
        <v>MANGLER</v>
      </c>
      <c r="H433" t="str">
        <f>IFERROR(INDEX(Input!$H$2:$H$501,MATCH(432,Input!$J$2:$J$501,0)),"")</f>
        <v>Nei</v>
      </c>
    </row>
    <row r="434" spans="1:8" x14ac:dyDescent="0.35">
      <c r="A434" t="str">
        <f>IFERROR(INDEX(Input!$A$2:$A$501,MATCH(433,Input!$J$2:$J$501,0)),"")</f>
        <v>Materialformer</v>
      </c>
      <c r="B434" t="str">
        <f>IFERROR(INDEX(Input!$B$2:$B$501,MATCH(433,Input!$J$2:$J$501,0)),"")</f>
        <v xml:space="preserve">Plate Dense </v>
      </c>
      <c r="C434" t="str">
        <f>IFERROR(INDEX(Input!$C$2:$C$501,MATCH(433,Input!$J$2:$J$501,0)),"")</f>
        <v>Large</v>
      </c>
      <c r="D434">
        <f>IFERROR(INDEX(Input!$D$2:$D$501,MATCH(433,Input!$J$2:$J$501,0)),"")</f>
        <v>1</v>
      </c>
      <c r="E434" s="3" t="str">
        <f>IFERROR(INDEX(Input!$E$2:$E$501,MATCH(433,Input!$J$2:$J$501,0)),"")</f>
        <v>Skal Ikke ha</v>
      </c>
      <c r="F434" t="str">
        <f>IFERROR(INDEX(Input!$F$2:$F$501,MATCH(433,Input!$J$2:$J$501,0)),"")</f>
        <v>Ja</v>
      </c>
      <c r="G434" s="3" t="str">
        <f>IFERROR(INDEX(Input!$G$2:$G$501,MATCH(433,Input!$J$2:$J$501,0)),"")</f>
        <v>MANGLER</v>
      </c>
      <c r="H434" t="str">
        <f>IFERROR(INDEX(Input!$H$2:$H$501,MATCH(433,Input!$J$2:$J$501,0)),"")</f>
        <v>Nei</v>
      </c>
    </row>
    <row r="435" spans="1:8" x14ac:dyDescent="0.35">
      <c r="A435" t="str">
        <f>IFERROR(INDEX(Input!$A$2:$A$501,MATCH(434,Input!$J$2:$J$501,0)),"")</f>
        <v>Materialformer</v>
      </c>
      <c r="B435" t="str">
        <f>IFERROR(INDEX(Input!$B$2:$B$501,MATCH(434,Input!$J$2:$J$501,0)),"")</f>
        <v>Plate Double</v>
      </c>
      <c r="C435" t="str">
        <f>IFERROR(INDEX(Input!$C$2:$C$501,MATCH(434,Input!$J$2:$J$501,0)),"")</f>
        <v>Normal</v>
      </c>
      <c r="D435">
        <f>IFERROR(INDEX(Input!$D$2:$D$501,MATCH(434,Input!$J$2:$J$501,0)),"")</f>
        <v>0</v>
      </c>
      <c r="E435" s="3" t="str">
        <f>IFERROR(INDEX(Input!$E$2:$E$501,MATCH(434,Input!$J$2:$J$501,0)),"")</f>
        <v>Skal Ikke ha</v>
      </c>
      <c r="F435" t="str">
        <f>IFERROR(INDEX(Input!$F$2:$F$501,MATCH(434,Input!$J$2:$J$501,0)),"")</f>
        <v>Nei</v>
      </c>
      <c r="G435" s="3" t="str">
        <f>IFERROR(INDEX(Input!$G$2:$G$501,MATCH(434,Input!$J$2:$J$501,0)),"")</f>
        <v>MANGLER</v>
      </c>
      <c r="H435" t="str">
        <f>IFERROR(INDEX(Input!$H$2:$H$501,MATCH(434,Input!$J$2:$J$501,0)),"")</f>
        <v>Nei</v>
      </c>
    </row>
    <row r="436" spans="1:8" x14ac:dyDescent="0.35">
      <c r="A436" t="str">
        <f>IFERROR(INDEX(Input!$A$2:$A$501,MATCH(435,Input!$J$2:$J$501,0)),"")</f>
        <v>Materialformer</v>
      </c>
      <c r="B436" t="str">
        <f>IFERROR(INDEX(Input!$B$2:$B$501,MATCH(435,Input!$J$2:$J$501,0)),"")</f>
        <v>Plate Double</v>
      </c>
      <c r="C436" t="str">
        <f>IFERROR(INDEX(Input!$C$2:$C$501,MATCH(435,Input!$J$2:$J$501,0)),"")</f>
        <v>Large</v>
      </c>
      <c r="D436">
        <f>IFERROR(INDEX(Input!$D$2:$D$501,MATCH(435,Input!$J$2:$J$501,0)),"")</f>
        <v>0</v>
      </c>
      <c r="E436" s="3" t="str">
        <f>IFERROR(INDEX(Input!$E$2:$E$501,MATCH(435,Input!$J$2:$J$501,0)),"")</f>
        <v>Skal Ikke ha</v>
      </c>
      <c r="F436" t="str">
        <f>IFERROR(INDEX(Input!$F$2:$F$501,MATCH(435,Input!$J$2:$J$501,0)),"")</f>
        <v>Nei</v>
      </c>
      <c r="G436" s="3" t="str">
        <f>IFERROR(INDEX(Input!$G$2:$G$501,MATCH(435,Input!$J$2:$J$501,0)),"")</f>
        <v>MANGLER</v>
      </c>
      <c r="H436" t="str">
        <f>IFERROR(INDEX(Input!$H$2:$H$501,MATCH(435,Input!$J$2:$J$501,0)),"")</f>
        <v>Nei</v>
      </c>
    </row>
    <row r="437" spans="1:8" x14ac:dyDescent="0.35">
      <c r="A437" t="str">
        <f>IFERROR(INDEX(Input!$A$2:$A$501,MATCH(436,Input!$J$2:$J$501,0)),"")</f>
        <v>Materialformer</v>
      </c>
      <c r="B437" t="str">
        <f>IFERROR(INDEX(Input!$B$2:$B$501,MATCH(436,Input!$J$2:$J$501,0)),"")</f>
        <v>Plate Heat Exchanger</v>
      </c>
      <c r="C437" t="str">
        <f>IFERROR(INDEX(Input!$C$2:$C$501,MATCH(436,Input!$J$2:$J$501,0)),"")</f>
        <v>Standerd</v>
      </c>
      <c r="D437">
        <f>IFERROR(INDEX(Input!$D$2:$D$501,MATCH(436,Input!$J$2:$J$501,0)),"")</f>
        <v>1</v>
      </c>
      <c r="E437" s="3" t="str">
        <f>IFERROR(INDEX(Input!$E$2:$E$501,MATCH(436,Input!$J$2:$J$501,0)),"")</f>
        <v>Skal Ikke ha</v>
      </c>
      <c r="F437" t="str">
        <f>IFERROR(INDEX(Input!$F$2:$F$501,MATCH(436,Input!$J$2:$J$501,0)),"")</f>
        <v>Ja</v>
      </c>
      <c r="G437" s="3" t="str">
        <f>IFERROR(INDEX(Input!$G$2:$G$501,MATCH(436,Input!$J$2:$J$501,0)),"")</f>
        <v>MANGLER</v>
      </c>
      <c r="H437" t="str">
        <f>IFERROR(INDEX(Input!$H$2:$H$501,MATCH(436,Input!$J$2:$J$501,0)),"")</f>
        <v>Nei</v>
      </c>
    </row>
    <row r="438" spans="1:8" x14ac:dyDescent="0.35">
      <c r="A438" t="str">
        <f>IFERROR(INDEX(Input!$A$2:$A$501,MATCH(437,Input!$J$2:$J$501,0)),"")</f>
        <v>Materialformer</v>
      </c>
      <c r="B438" t="str">
        <f>IFERROR(INDEX(Input!$B$2:$B$501,MATCH(437,Input!$J$2:$J$501,0)),"")</f>
        <v>Plate Reinforced</v>
      </c>
      <c r="C438" t="str">
        <f>IFERROR(INDEX(Input!$C$2:$C$501,MATCH(437,Input!$J$2:$J$501,0)),"")</f>
        <v>Standerd</v>
      </c>
      <c r="D438">
        <f>IFERROR(INDEX(Input!$D$2:$D$501,MATCH(437,Input!$J$2:$J$501,0)),"")</f>
        <v>1</v>
      </c>
      <c r="E438" s="3" t="str">
        <f>IFERROR(INDEX(Input!$E$2:$E$501,MATCH(437,Input!$J$2:$J$501,0)),"")</f>
        <v>Skal Ikke ha</v>
      </c>
      <c r="F438" t="str">
        <f>IFERROR(INDEX(Input!$F$2:$F$501,MATCH(437,Input!$J$2:$J$501,0)),"")</f>
        <v>Ja</v>
      </c>
      <c r="G438" s="3" t="str">
        <f>IFERROR(INDEX(Input!$G$2:$G$501,MATCH(437,Input!$J$2:$J$501,0)),"")</f>
        <v>MANGLER</v>
      </c>
      <c r="H438" t="str">
        <f>IFERROR(INDEX(Input!$H$2:$H$501,MATCH(437,Input!$J$2:$J$501,0)),"")</f>
        <v>Nei</v>
      </c>
    </row>
    <row r="439" spans="1:8" x14ac:dyDescent="0.35">
      <c r="A439" t="str">
        <f>IFERROR(INDEX(Input!$A$2:$A$501,MATCH(438,Input!$J$2:$J$501,0)),"")</f>
        <v>Materialformer</v>
      </c>
      <c r="B439" t="str">
        <f>IFERROR(INDEX(Input!$B$2:$B$501,MATCH(438,Input!$J$2:$J$501,0)),"")</f>
        <v>Plate</v>
      </c>
      <c r="C439" t="str">
        <f>IFERROR(INDEX(Input!$C$2:$C$501,MATCH(438,Input!$J$2:$J$501,0)),"")</f>
        <v>Normal</v>
      </c>
      <c r="D439">
        <f>IFERROR(INDEX(Input!$D$2:$D$501,MATCH(438,Input!$J$2:$J$501,0)),"")</f>
        <v>6</v>
      </c>
      <c r="E439" s="3" t="str">
        <f>IFERROR(INDEX(Input!$E$2:$E$501,MATCH(438,Input!$J$2:$J$501,0)),"")</f>
        <v>Ja</v>
      </c>
      <c r="F439" t="str">
        <f>IFERROR(INDEX(Input!$F$2:$F$501,MATCH(438,Input!$J$2:$J$501,0)),"")</f>
        <v>Ja</v>
      </c>
      <c r="G439" s="3" t="str">
        <f>IFERROR(INDEX(Input!$G$2:$G$501,MATCH(438,Input!$J$2:$J$501,0)),"")</f>
        <v>MANGLER</v>
      </c>
      <c r="H439" t="str">
        <f>IFERROR(INDEX(Input!$H$2:$H$501,MATCH(438,Input!$J$2:$J$501,0)),"")</f>
        <v>Nei</v>
      </c>
    </row>
    <row r="440" spans="1:8" x14ac:dyDescent="0.35">
      <c r="A440" t="str">
        <f>IFERROR(INDEX(Input!$A$2:$A$501,MATCH(439,Input!$J$2:$J$501,0)),"")</f>
        <v>Materialformer</v>
      </c>
      <c r="B440" t="str">
        <f>IFERROR(INDEX(Input!$B$2:$B$501,MATCH(439,Input!$J$2:$J$501,0)),"")</f>
        <v>Plate</v>
      </c>
      <c r="C440" t="str">
        <f>IFERROR(INDEX(Input!$C$2:$C$501,MATCH(439,Input!$J$2:$J$501,0)),"")</f>
        <v>Large</v>
      </c>
      <c r="D440">
        <f>IFERROR(INDEX(Input!$D$2:$D$501,MATCH(439,Input!$J$2:$J$501,0)),"")</f>
        <v>0</v>
      </c>
      <c r="E440" s="3" t="str">
        <f>IFERROR(INDEX(Input!$E$2:$E$501,MATCH(439,Input!$J$2:$J$501,0)),"")</f>
        <v>Nei</v>
      </c>
      <c r="F440" t="str">
        <f>IFERROR(INDEX(Input!$F$2:$F$501,MATCH(439,Input!$J$2:$J$501,0)),"")</f>
        <v>Nei</v>
      </c>
      <c r="G440" s="3" t="str">
        <f>IFERROR(INDEX(Input!$G$2:$G$501,MATCH(439,Input!$J$2:$J$501,0)),"")</f>
        <v>MANGLER</v>
      </c>
      <c r="H440" t="str">
        <f>IFERROR(INDEX(Input!$H$2:$H$501,MATCH(439,Input!$J$2:$J$501,0)),"")</f>
        <v>Nei</v>
      </c>
    </row>
    <row r="441" spans="1:8" x14ac:dyDescent="0.35">
      <c r="A441" t="str">
        <f>IFERROR(INDEX(Input!$A$2:$A$501,MATCH(440,Input!$J$2:$J$501,0)),"")</f>
        <v>Machine components</v>
      </c>
      <c r="B441" t="str">
        <f>IFERROR(INDEX(Input!$B$2:$B$501,MATCH(440,Input!$J$2:$J$501,0)),"")</f>
        <v>Pump Impeller</v>
      </c>
      <c r="C441" t="str">
        <f>IFERROR(INDEX(Input!$C$2:$C$501,MATCH(440,Input!$J$2:$J$501,0)),"")</f>
        <v>Tiny</v>
      </c>
      <c r="D441">
        <f>IFERROR(INDEX(Input!$D$2:$D$501,MATCH(440,Input!$J$2:$J$501,0)),"")</f>
        <v>0</v>
      </c>
      <c r="E441" s="3" t="str">
        <f>IFERROR(INDEX(Input!$E$2:$E$501,MATCH(440,Input!$J$2:$J$501,0)),"")</f>
        <v>Skal Ikke ha</v>
      </c>
      <c r="F441" t="str">
        <f>IFERROR(INDEX(Input!$F$2:$F$501,MATCH(440,Input!$J$2:$J$501,0)),"")</f>
        <v>Nei</v>
      </c>
      <c r="G441" s="3" t="str">
        <f>IFERROR(INDEX(Input!$G$2:$G$501,MATCH(440,Input!$J$2:$J$501,0)),"")</f>
        <v>MANGLER</v>
      </c>
      <c r="H441" t="str">
        <f>IFERROR(INDEX(Input!$H$2:$H$501,MATCH(440,Input!$J$2:$J$501,0)),"")</f>
        <v>Nei</v>
      </c>
    </row>
    <row r="442" spans="1:8" x14ac:dyDescent="0.35">
      <c r="A442" t="str">
        <f>IFERROR(INDEX(Input!$A$2:$A$501,MATCH(441,Input!$J$2:$J$501,0)),"")</f>
        <v>Machine components</v>
      </c>
      <c r="B442" t="str">
        <f>IFERROR(INDEX(Input!$B$2:$B$501,MATCH(441,Input!$J$2:$J$501,0)),"")</f>
        <v>Pump Impeller</v>
      </c>
      <c r="C442" t="str">
        <f>IFERROR(INDEX(Input!$C$2:$C$501,MATCH(441,Input!$J$2:$J$501,0)),"")</f>
        <v>Small</v>
      </c>
      <c r="D442">
        <f>IFERROR(INDEX(Input!$D$2:$D$501,MATCH(441,Input!$J$2:$J$501,0)),"")</f>
        <v>0</v>
      </c>
      <c r="E442" s="3" t="str">
        <f>IFERROR(INDEX(Input!$E$2:$E$501,MATCH(441,Input!$J$2:$J$501,0)),"")</f>
        <v>Skal Ikke ha</v>
      </c>
      <c r="F442" t="str">
        <f>IFERROR(INDEX(Input!$F$2:$F$501,MATCH(441,Input!$J$2:$J$501,0)),"")</f>
        <v>Nei</v>
      </c>
      <c r="G442" s="3" t="str">
        <f>IFERROR(INDEX(Input!$G$2:$G$501,MATCH(441,Input!$J$2:$J$501,0)),"")</f>
        <v>MANGLER</v>
      </c>
      <c r="H442" t="str">
        <f>IFERROR(INDEX(Input!$H$2:$H$501,MATCH(441,Input!$J$2:$J$501,0)),"")</f>
        <v>Nei</v>
      </c>
    </row>
    <row r="443" spans="1:8" x14ac:dyDescent="0.35">
      <c r="A443" t="str">
        <f>IFERROR(INDEX(Input!$A$2:$A$501,MATCH(442,Input!$J$2:$J$501,0)),"")</f>
        <v>Machine components</v>
      </c>
      <c r="B443" t="str">
        <f>IFERROR(INDEX(Input!$B$2:$B$501,MATCH(442,Input!$J$2:$J$501,0)),"")</f>
        <v>Pump Impeller</v>
      </c>
      <c r="C443" t="str">
        <f>IFERROR(INDEX(Input!$C$2:$C$501,MATCH(442,Input!$J$2:$J$501,0)),"")</f>
        <v>normal</v>
      </c>
      <c r="D443">
        <f>IFERROR(INDEX(Input!$D$2:$D$501,MATCH(442,Input!$J$2:$J$501,0)),"")</f>
        <v>0</v>
      </c>
      <c r="E443" s="3" t="str">
        <f>IFERROR(INDEX(Input!$E$2:$E$501,MATCH(442,Input!$J$2:$J$501,0)),"")</f>
        <v>Skal Ikke ha</v>
      </c>
      <c r="F443" t="str">
        <f>IFERROR(INDEX(Input!$F$2:$F$501,MATCH(442,Input!$J$2:$J$501,0)),"")</f>
        <v>Nei</v>
      </c>
      <c r="G443" s="3" t="str">
        <f>IFERROR(INDEX(Input!$G$2:$G$501,MATCH(442,Input!$J$2:$J$501,0)),"")</f>
        <v>MANGLER</v>
      </c>
      <c r="H443" t="str">
        <f>IFERROR(INDEX(Input!$H$2:$H$501,MATCH(442,Input!$J$2:$J$501,0)),"")</f>
        <v>Nei</v>
      </c>
    </row>
    <row r="444" spans="1:8" x14ac:dyDescent="0.35">
      <c r="A444" t="str">
        <f>IFERROR(INDEX(Input!$A$2:$A$501,MATCH(443,Input!$J$2:$J$501,0)),"")</f>
        <v>Machine components</v>
      </c>
      <c r="B444" t="str">
        <f>IFERROR(INDEX(Input!$B$2:$B$501,MATCH(443,Input!$J$2:$J$501,0)),"")</f>
        <v>Pump Impeller</v>
      </c>
      <c r="C444" t="str">
        <f>IFERROR(INDEX(Input!$C$2:$C$501,MATCH(443,Input!$J$2:$J$501,0)),"")</f>
        <v>Large</v>
      </c>
      <c r="D444">
        <f>IFERROR(INDEX(Input!$D$2:$D$501,MATCH(443,Input!$J$2:$J$501,0)),"")</f>
        <v>0</v>
      </c>
      <c r="E444" s="3" t="str">
        <f>IFERROR(INDEX(Input!$E$2:$E$501,MATCH(443,Input!$J$2:$J$501,0)),"")</f>
        <v>Skal Ikke ha</v>
      </c>
      <c r="F444" t="str">
        <f>IFERROR(INDEX(Input!$F$2:$F$501,MATCH(443,Input!$J$2:$J$501,0)),"")</f>
        <v>Nei</v>
      </c>
      <c r="G444" s="3" t="str">
        <f>IFERROR(INDEX(Input!$G$2:$G$501,MATCH(443,Input!$J$2:$J$501,0)),"")</f>
        <v>MANGLER</v>
      </c>
      <c r="H444" t="str">
        <f>IFERROR(INDEX(Input!$H$2:$H$501,MATCH(443,Input!$J$2:$J$501,0)),"")</f>
        <v>Nei</v>
      </c>
    </row>
    <row r="445" spans="1:8" x14ac:dyDescent="0.35">
      <c r="A445" t="str">
        <f>IFERROR(INDEX(Input!$A$2:$A$501,MATCH(444,Input!$J$2:$J$501,0)),"")</f>
        <v>Machine components</v>
      </c>
      <c r="B445" t="str">
        <f>IFERROR(INDEX(Input!$B$2:$B$501,MATCH(444,Input!$J$2:$J$501,0)),"")</f>
        <v>Pump Impeller</v>
      </c>
      <c r="C445" t="str">
        <f>IFERROR(INDEX(Input!$C$2:$C$501,MATCH(444,Input!$J$2:$J$501,0)),"")</f>
        <v>Huge</v>
      </c>
      <c r="D445">
        <f>IFERROR(INDEX(Input!$D$2:$D$501,MATCH(444,Input!$J$2:$J$501,0)),"")</f>
        <v>0</v>
      </c>
      <c r="E445" s="3" t="str">
        <f>IFERROR(INDEX(Input!$E$2:$E$501,MATCH(444,Input!$J$2:$J$501,0)),"")</f>
        <v>Skal Ikke ha</v>
      </c>
      <c r="F445" t="str">
        <f>IFERROR(INDEX(Input!$F$2:$F$501,MATCH(444,Input!$J$2:$J$501,0)),"")</f>
        <v>Nei</v>
      </c>
      <c r="G445" s="3" t="str">
        <f>IFERROR(INDEX(Input!$G$2:$G$501,MATCH(444,Input!$J$2:$J$501,0)),"")</f>
        <v>MANGLER</v>
      </c>
      <c r="H445" t="str">
        <f>IFERROR(INDEX(Input!$H$2:$H$501,MATCH(444,Input!$J$2:$J$501,0)),"")</f>
        <v>Nei</v>
      </c>
    </row>
    <row r="446" spans="1:8" x14ac:dyDescent="0.35">
      <c r="A446" t="str">
        <f>IFERROR(INDEX(Input!$A$2:$A$501,MATCH(445,Input!$J$2:$J$501,0)),"")</f>
        <v>Machine components</v>
      </c>
      <c r="B446" t="str">
        <f>IFERROR(INDEX(Input!$B$2:$B$501,MATCH(445,Input!$J$2:$J$501,0)),"")</f>
        <v>Pump</v>
      </c>
      <c r="C446" t="str">
        <f>IFERROR(INDEX(Input!$C$2:$C$501,MATCH(445,Input!$J$2:$J$501,0)),"")</f>
        <v>Tiny</v>
      </c>
      <c r="D446">
        <f>IFERROR(INDEX(Input!$D$2:$D$501,MATCH(445,Input!$J$2:$J$501,0)),"")</f>
        <v>0</v>
      </c>
      <c r="E446" s="3" t="str">
        <f>IFERROR(INDEX(Input!$E$2:$E$501,MATCH(445,Input!$J$2:$J$501,0)),"")</f>
        <v>Skal Ikke ha</v>
      </c>
      <c r="F446" t="str">
        <f>IFERROR(INDEX(Input!$F$2:$F$501,MATCH(445,Input!$J$2:$J$501,0)),"")</f>
        <v>Nei</v>
      </c>
      <c r="G446" s="3" t="str">
        <f>IFERROR(INDEX(Input!$G$2:$G$501,MATCH(445,Input!$J$2:$J$501,0)),"")</f>
        <v>MANGLER</v>
      </c>
      <c r="H446">
        <f>IFERROR(INDEX(Input!$H$2:$H$501,MATCH(445,Input!$J$2:$J$501,0)),"")</f>
        <v>0</v>
      </c>
    </row>
    <row r="447" spans="1:8" x14ac:dyDescent="0.35">
      <c r="A447" t="str">
        <f>IFERROR(INDEX(Input!$A$2:$A$501,MATCH(446,Input!$J$2:$J$501,0)),"")</f>
        <v>Machine components</v>
      </c>
      <c r="B447" t="str">
        <f>IFERROR(INDEX(Input!$B$2:$B$501,MATCH(446,Input!$J$2:$J$501,0)),"")</f>
        <v>Pump</v>
      </c>
      <c r="C447" t="str">
        <f>IFERROR(INDEX(Input!$C$2:$C$501,MATCH(446,Input!$J$2:$J$501,0)),"")</f>
        <v>Small</v>
      </c>
      <c r="D447">
        <f>IFERROR(INDEX(Input!$D$2:$D$501,MATCH(446,Input!$J$2:$J$501,0)),"")</f>
        <v>0</v>
      </c>
      <c r="E447" s="3" t="str">
        <f>IFERROR(INDEX(Input!$E$2:$E$501,MATCH(446,Input!$J$2:$J$501,0)),"")</f>
        <v>Skal Ikke ha</v>
      </c>
      <c r="F447" t="str">
        <f>IFERROR(INDEX(Input!$F$2:$F$501,MATCH(446,Input!$J$2:$J$501,0)),"")</f>
        <v>Nei</v>
      </c>
      <c r="G447" s="3" t="str">
        <f>IFERROR(INDEX(Input!$G$2:$G$501,MATCH(446,Input!$J$2:$J$501,0)),"")</f>
        <v>MANGLER</v>
      </c>
      <c r="H447">
        <f>IFERROR(INDEX(Input!$H$2:$H$501,MATCH(446,Input!$J$2:$J$501,0)),"")</f>
        <v>0</v>
      </c>
    </row>
    <row r="448" spans="1:8" x14ac:dyDescent="0.35">
      <c r="A448" t="str">
        <f>IFERROR(INDEX(Input!$A$2:$A$501,MATCH(447,Input!$J$2:$J$501,0)),"")</f>
        <v>Machine components</v>
      </c>
      <c r="B448" t="str">
        <f>IFERROR(INDEX(Input!$B$2:$B$501,MATCH(447,Input!$J$2:$J$501,0)),"")</f>
        <v>Pump</v>
      </c>
      <c r="C448" t="str">
        <f>IFERROR(INDEX(Input!$C$2:$C$501,MATCH(447,Input!$J$2:$J$501,0)),"")</f>
        <v>Normal</v>
      </c>
      <c r="D448">
        <f>IFERROR(INDEX(Input!$D$2:$D$501,MATCH(447,Input!$J$2:$J$501,0)),"")</f>
        <v>0</v>
      </c>
      <c r="E448" s="3" t="str">
        <f>IFERROR(INDEX(Input!$E$2:$E$501,MATCH(447,Input!$J$2:$J$501,0)),"")</f>
        <v>Skal Ikke ha</v>
      </c>
      <c r="F448" t="str">
        <f>IFERROR(INDEX(Input!$F$2:$F$501,MATCH(447,Input!$J$2:$J$501,0)),"")</f>
        <v>Nei</v>
      </c>
      <c r="G448" s="3" t="str">
        <f>IFERROR(INDEX(Input!$G$2:$G$501,MATCH(447,Input!$J$2:$J$501,0)),"")</f>
        <v>MANGLER</v>
      </c>
      <c r="H448" t="str">
        <f>IFERROR(INDEX(Input!$H$2:$H$501,MATCH(447,Input!$J$2:$J$501,0)),"")</f>
        <v>Nei</v>
      </c>
    </row>
    <row r="449" spans="1:8" x14ac:dyDescent="0.35">
      <c r="A449" t="str">
        <f>IFERROR(INDEX(Input!$A$2:$A$501,MATCH(448,Input!$J$2:$J$501,0)),"")</f>
        <v>Machine components</v>
      </c>
      <c r="B449" t="str">
        <f>IFERROR(INDEX(Input!$B$2:$B$501,MATCH(448,Input!$J$2:$J$501,0)),"")</f>
        <v>Pump</v>
      </c>
      <c r="C449" t="str">
        <f>IFERROR(INDEX(Input!$C$2:$C$501,MATCH(448,Input!$J$2:$J$501,0)),"")</f>
        <v>Large</v>
      </c>
      <c r="D449">
        <f>IFERROR(INDEX(Input!$D$2:$D$501,MATCH(448,Input!$J$2:$J$501,0)),"")</f>
        <v>0</v>
      </c>
      <c r="E449" s="3" t="str">
        <f>IFERROR(INDEX(Input!$E$2:$E$501,MATCH(448,Input!$J$2:$J$501,0)),"")</f>
        <v>Skal Ikke ha</v>
      </c>
      <c r="F449" t="str">
        <f>IFERROR(INDEX(Input!$F$2:$F$501,MATCH(448,Input!$J$2:$J$501,0)),"")</f>
        <v>Nei</v>
      </c>
      <c r="G449" s="3" t="str">
        <f>IFERROR(INDEX(Input!$G$2:$G$501,MATCH(448,Input!$J$2:$J$501,0)),"")</f>
        <v>MANGLER</v>
      </c>
      <c r="H449" t="str">
        <f>IFERROR(INDEX(Input!$H$2:$H$501,MATCH(448,Input!$J$2:$J$501,0)),"")</f>
        <v>Nei</v>
      </c>
    </row>
    <row r="450" spans="1:8" x14ac:dyDescent="0.35">
      <c r="A450" t="str">
        <f>IFERROR(INDEX(Input!$A$2:$A$501,MATCH(449,Input!$J$2:$J$501,0)),"")</f>
        <v>Machine components</v>
      </c>
      <c r="B450" t="str">
        <f>IFERROR(INDEX(Input!$B$2:$B$501,MATCH(449,Input!$J$2:$J$501,0)),"")</f>
        <v>Pump</v>
      </c>
      <c r="C450" t="str">
        <f>IFERROR(INDEX(Input!$C$2:$C$501,MATCH(449,Input!$J$2:$J$501,0)),"")</f>
        <v>Huge</v>
      </c>
      <c r="D450">
        <f>IFERROR(INDEX(Input!$D$2:$D$501,MATCH(449,Input!$J$2:$J$501,0)),"")</f>
        <v>0</v>
      </c>
      <c r="E450" s="3" t="str">
        <f>IFERROR(INDEX(Input!$E$2:$E$501,MATCH(449,Input!$J$2:$J$501,0)),"")</f>
        <v>Skal Ikke ha</v>
      </c>
      <c r="F450" t="str">
        <f>IFERROR(INDEX(Input!$F$2:$F$501,MATCH(449,Input!$J$2:$J$501,0)),"")</f>
        <v>Nei</v>
      </c>
      <c r="G450" s="3" t="str">
        <f>IFERROR(INDEX(Input!$G$2:$G$501,MATCH(449,Input!$J$2:$J$501,0)),"")</f>
        <v>MANGLER</v>
      </c>
      <c r="H450" t="str">
        <f>IFERROR(INDEX(Input!$H$2:$H$501,MATCH(449,Input!$J$2:$J$501,0)),"")</f>
        <v>Nei</v>
      </c>
    </row>
    <row r="451" spans="1:8" x14ac:dyDescent="0.35">
      <c r="A451" t="str">
        <f>IFERROR(INDEX(Input!$A$2:$A$501,MATCH(450,Input!$J$2:$J$501,0)),"")</f>
        <v>Ore processing</v>
      </c>
      <c r="B451" t="str">
        <f>IFERROR(INDEX(Input!$B$2:$B$501,MATCH(450,Input!$J$2:$J$501,0)),"")</f>
        <v>Raw Ore Block</v>
      </c>
      <c r="C451" t="str">
        <f>IFERROR(INDEX(Input!$C$2:$C$501,MATCH(450,Input!$J$2:$J$501,0)),"")</f>
        <v>Standard</v>
      </c>
      <c r="D451">
        <f>IFERROR(INDEX(Input!$D$2:$D$501,MATCH(450,Input!$J$2:$J$501,0)),"")</f>
        <v>3</v>
      </c>
      <c r="E451" s="3" t="str">
        <f>IFERROR(INDEX(Input!$E$2:$E$501,MATCH(450,Input!$J$2:$J$501,0)),"")</f>
        <v>Skal Ikke ha</v>
      </c>
      <c r="F451" t="str">
        <f>IFERROR(INDEX(Input!$F$2:$F$501,MATCH(450,Input!$J$2:$J$501,0)),"")</f>
        <v>Ja</v>
      </c>
      <c r="G451" s="3" t="str">
        <f>IFERROR(INDEX(Input!$G$2:$G$501,MATCH(450,Input!$J$2:$J$501,0)),"")</f>
        <v>MANGLER</v>
      </c>
      <c r="H451" t="str">
        <f>IFERROR(INDEX(Input!$H$2:$H$501,MATCH(450,Input!$J$2:$J$501,0)),"")</f>
        <v>Ja</v>
      </c>
    </row>
    <row r="452" spans="1:8" x14ac:dyDescent="0.35">
      <c r="A452" t="str">
        <f>IFERROR(INDEX(Input!$A$2:$A$501,MATCH(451,Input!$J$2:$J$501,0)),"")</f>
        <v>Ore processing</v>
      </c>
      <c r="B452" t="str">
        <f>IFERROR(INDEX(Input!$B$2:$B$501,MATCH(451,Input!$J$2:$J$501,0)),"")</f>
        <v>Raw Ore</v>
      </c>
      <c r="C452" t="str">
        <f>IFERROR(INDEX(Input!$C$2:$C$501,MATCH(451,Input!$J$2:$J$501,0)),"")</f>
        <v>Standard</v>
      </c>
      <c r="D452">
        <f>IFERROR(INDEX(Input!$D$2:$D$501,MATCH(451,Input!$J$2:$J$501,0)),"")</f>
        <v>5</v>
      </c>
      <c r="E452" s="3" t="str">
        <f>IFERROR(INDEX(Input!$E$2:$E$501,MATCH(451,Input!$J$2:$J$501,0)),"")</f>
        <v>Skal Ikke ha</v>
      </c>
      <c r="F452" t="str">
        <f>IFERROR(INDEX(Input!$F$2:$F$501,MATCH(451,Input!$J$2:$J$501,0)),"")</f>
        <v>Ja</v>
      </c>
      <c r="G452" s="3" t="str">
        <f>IFERROR(INDEX(Input!$G$2:$G$501,MATCH(451,Input!$J$2:$J$501,0)),"")</f>
        <v>MANGLER</v>
      </c>
      <c r="H452" t="str">
        <f>IFERROR(INDEX(Input!$H$2:$H$501,MATCH(451,Input!$J$2:$J$501,0)),"")</f>
        <v>Nei</v>
      </c>
    </row>
    <row r="453" spans="1:8" x14ac:dyDescent="0.35">
      <c r="A453" t="str">
        <f>IFERROR(INDEX(Input!$A$2:$A$501,MATCH(452,Input!$J$2:$J$501,0)),"")</f>
        <v>Ore processing</v>
      </c>
      <c r="B453" t="str">
        <f>IFERROR(INDEX(Input!$B$2:$B$501,MATCH(452,Input!$J$2:$J$501,0)),"")</f>
        <v>Refined Ore</v>
      </c>
      <c r="C453" t="str">
        <f>IFERROR(INDEX(Input!$C$2:$C$501,MATCH(452,Input!$J$2:$J$501,0)),"")</f>
        <v>Standard</v>
      </c>
      <c r="D453">
        <f>IFERROR(INDEX(Input!$D$2:$D$501,MATCH(452,Input!$J$2:$J$501,0)),"")</f>
        <v>1</v>
      </c>
      <c r="E453" s="3" t="str">
        <f>IFERROR(INDEX(Input!$E$2:$E$501,MATCH(452,Input!$J$2:$J$501,0)),"")</f>
        <v>Skal Ikke ha</v>
      </c>
      <c r="F453" t="str">
        <f>IFERROR(INDEX(Input!$F$2:$F$501,MATCH(452,Input!$J$2:$J$501,0)),"")</f>
        <v>Ja</v>
      </c>
      <c r="G453" s="3" t="str">
        <f>IFERROR(INDEX(Input!$G$2:$G$501,MATCH(452,Input!$J$2:$J$501,0)),"")</f>
        <v>MANGLER</v>
      </c>
      <c r="H453" t="str">
        <f>IFERROR(INDEX(Input!$H$2:$H$501,MATCH(452,Input!$J$2:$J$501,0)),"")</f>
        <v>Nei</v>
      </c>
    </row>
    <row r="454" spans="1:8" x14ac:dyDescent="0.35">
      <c r="A454" t="str">
        <f>IFERROR(INDEX(Input!$A$2:$A$501,MATCH(453,Input!$J$2:$J$501,0)),"")</f>
        <v>Materialformer</v>
      </c>
      <c r="B454" t="str">
        <f>IFERROR(INDEX(Input!$B$2:$B$501,MATCH(453,Input!$J$2:$J$501,0)),"")</f>
        <v>Ring</v>
      </c>
      <c r="C454" t="str">
        <f>IFERROR(INDEX(Input!$C$2:$C$501,MATCH(453,Input!$J$2:$J$501,0)),"")</f>
        <v>Tiny</v>
      </c>
      <c r="D454">
        <f>IFERROR(INDEX(Input!$D$2:$D$501,MATCH(453,Input!$J$2:$J$501,0)),"")</f>
        <v>0</v>
      </c>
      <c r="E454" s="3" t="str">
        <f>IFERROR(INDEX(Input!$E$2:$E$501,MATCH(453,Input!$J$2:$J$501,0)),"")</f>
        <v>Nei</v>
      </c>
      <c r="F454" t="str">
        <f>IFERROR(INDEX(Input!$F$2:$F$501,MATCH(453,Input!$J$2:$J$501,0)),"")</f>
        <v>Nei</v>
      </c>
      <c r="G454" s="3" t="str">
        <f>IFERROR(INDEX(Input!$G$2:$G$501,MATCH(453,Input!$J$2:$J$501,0)),"")</f>
        <v>MANGLER</v>
      </c>
      <c r="H454" t="str">
        <f>IFERROR(INDEX(Input!$H$2:$H$501,MATCH(453,Input!$J$2:$J$501,0)),"")</f>
        <v>Nei</v>
      </c>
    </row>
    <row r="455" spans="1:8" x14ac:dyDescent="0.35">
      <c r="A455" t="str">
        <f>IFERROR(INDEX(Input!$A$2:$A$501,MATCH(454,Input!$J$2:$J$501,0)),"")</f>
        <v>Materialformer</v>
      </c>
      <c r="B455" t="str">
        <f>IFERROR(INDEX(Input!$B$2:$B$501,MATCH(454,Input!$J$2:$J$501,0)),"")</f>
        <v>Ring</v>
      </c>
      <c r="C455" t="str">
        <f>IFERROR(INDEX(Input!$C$2:$C$501,MATCH(454,Input!$J$2:$J$501,0)),"")</f>
        <v>Small</v>
      </c>
      <c r="D455">
        <f>IFERROR(INDEX(Input!$D$2:$D$501,MATCH(454,Input!$J$2:$J$501,0)),"")</f>
        <v>1</v>
      </c>
      <c r="E455" s="3" t="str">
        <f>IFERROR(INDEX(Input!$E$2:$E$501,MATCH(454,Input!$J$2:$J$501,0)),"")</f>
        <v>Ja</v>
      </c>
      <c r="F455" t="str">
        <f>IFERROR(INDEX(Input!$F$2:$F$501,MATCH(454,Input!$J$2:$J$501,0)),"")</f>
        <v>Ja</v>
      </c>
      <c r="G455" s="3" t="str">
        <f>IFERROR(INDEX(Input!$G$2:$G$501,MATCH(454,Input!$J$2:$J$501,0)),"")</f>
        <v>MANGLER</v>
      </c>
      <c r="H455" t="str">
        <f>IFERROR(INDEX(Input!$H$2:$H$501,MATCH(454,Input!$J$2:$J$501,0)),"")</f>
        <v>Nei</v>
      </c>
    </row>
    <row r="456" spans="1:8" x14ac:dyDescent="0.35">
      <c r="A456" t="str">
        <f>IFERROR(INDEX(Input!$A$2:$A$501,MATCH(455,Input!$J$2:$J$501,0)),"")</f>
        <v>Materialformer</v>
      </c>
      <c r="B456" t="str">
        <f>IFERROR(INDEX(Input!$B$2:$B$501,MATCH(455,Input!$J$2:$J$501,0)),"")</f>
        <v>Ring</v>
      </c>
      <c r="C456" t="str">
        <f>IFERROR(INDEX(Input!$C$2:$C$501,MATCH(455,Input!$J$2:$J$501,0)),"")</f>
        <v>Normal</v>
      </c>
      <c r="D456">
        <f>IFERROR(INDEX(Input!$D$2:$D$501,MATCH(455,Input!$J$2:$J$501,0)),"")</f>
        <v>2</v>
      </c>
      <c r="E456" s="3" t="str">
        <f>IFERROR(INDEX(Input!$E$2:$E$501,MATCH(455,Input!$J$2:$J$501,0)),"")</f>
        <v>Ja</v>
      </c>
      <c r="F456" t="str">
        <f>IFERROR(INDEX(Input!$F$2:$F$501,MATCH(455,Input!$J$2:$J$501,0)),"")</f>
        <v>Ja</v>
      </c>
      <c r="G456" s="3" t="str">
        <f>IFERROR(INDEX(Input!$G$2:$G$501,MATCH(455,Input!$J$2:$J$501,0)),"")</f>
        <v>MANGLER</v>
      </c>
      <c r="H456" t="str">
        <f>IFERROR(INDEX(Input!$H$2:$H$501,MATCH(455,Input!$J$2:$J$501,0)),"")</f>
        <v>Nei</v>
      </c>
    </row>
    <row r="457" spans="1:8" x14ac:dyDescent="0.35">
      <c r="A457" t="str">
        <f>IFERROR(INDEX(Input!$A$2:$A$501,MATCH(456,Input!$J$2:$J$501,0)),"")</f>
        <v>Materialformer</v>
      </c>
      <c r="B457" t="str">
        <f>IFERROR(INDEX(Input!$B$2:$B$501,MATCH(456,Input!$J$2:$J$501,0)),"")</f>
        <v>Ring</v>
      </c>
      <c r="C457" t="str">
        <f>IFERROR(INDEX(Input!$C$2:$C$501,MATCH(456,Input!$J$2:$J$501,0)),"")</f>
        <v>Large</v>
      </c>
      <c r="D457">
        <f>IFERROR(INDEX(Input!$D$2:$D$501,MATCH(456,Input!$J$2:$J$501,0)),"")</f>
        <v>0</v>
      </c>
      <c r="E457" s="3" t="str">
        <f>IFERROR(INDEX(Input!$E$2:$E$501,MATCH(456,Input!$J$2:$J$501,0)),"")</f>
        <v>Ja</v>
      </c>
      <c r="F457" t="str">
        <f>IFERROR(INDEX(Input!$F$2:$F$501,MATCH(456,Input!$J$2:$J$501,0)),"")</f>
        <v>Nei</v>
      </c>
      <c r="G457" s="3" t="str">
        <f>IFERROR(INDEX(Input!$G$2:$G$501,MATCH(456,Input!$J$2:$J$501,0)),"")</f>
        <v>MANGLER</v>
      </c>
      <c r="H457" t="str">
        <f>IFERROR(INDEX(Input!$H$2:$H$501,MATCH(456,Input!$J$2:$J$501,0)),"")</f>
        <v>Nei</v>
      </c>
    </row>
    <row r="458" spans="1:8" x14ac:dyDescent="0.35">
      <c r="A458" t="str">
        <f>IFERROR(INDEX(Input!$A$2:$A$501,MATCH(457,Input!$J$2:$J$501,0)),"")</f>
        <v>Materialformer</v>
      </c>
      <c r="B458" t="str">
        <f>IFERROR(INDEX(Input!$B$2:$B$501,MATCH(457,Input!$J$2:$J$501,0)),"")</f>
        <v>Ring</v>
      </c>
      <c r="C458" t="str">
        <f>IFERROR(INDEX(Input!$C$2:$C$501,MATCH(457,Input!$J$2:$J$501,0)),"")</f>
        <v>Huge</v>
      </c>
      <c r="D458">
        <f>IFERROR(INDEX(Input!$D$2:$D$501,MATCH(457,Input!$J$2:$J$501,0)),"")</f>
        <v>0</v>
      </c>
      <c r="E458" s="3" t="str">
        <f>IFERROR(INDEX(Input!$E$2:$E$501,MATCH(457,Input!$J$2:$J$501,0)),"")</f>
        <v>Nei</v>
      </c>
      <c r="F458" t="str">
        <f>IFERROR(INDEX(Input!$F$2:$F$501,MATCH(457,Input!$J$2:$J$501,0)),"")</f>
        <v>Nei</v>
      </c>
      <c r="G458" s="3" t="str">
        <f>IFERROR(INDEX(Input!$G$2:$G$501,MATCH(457,Input!$J$2:$J$501,0)),"")</f>
        <v>MANGLER</v>
      </c>
      <c r="H458" t="str">
        <f>IFERROR(INDEX(Input!$H$2:$H$501,MATCH(457,Input!$J$2:$J$501,0)),"")</f>
        <v>Nei</v>
      </c>
    </row>
    <row r="459" spans="1:8" x14ac:dyDescent="0.35">
      <c r="A459" t="str">
        <f>IFERROR(INDEX(Input!$A$2:$A$501,MATCH(458,Input!$J$2:$J$501,0)),"")</f>
        <v>Materialformer</v>
      </c>
      <c r="B459" t="str">
        <f>IFERROR(INDEX(Input!$B$2:$B$501,MATCH(458,Input!$J$2:$J$501,0)),"")</f>
        <v>Rivet</v>
      </c>
      <c r="C459" t="str">
        <f>IFERROR(INDEX(Input!$C$2:$C$501,MATCH(458,Input!$J$2:$J$501,0)),"")</f>
        <v>Tiny</v>
      </c>
      <c r="D459">
        <f>IFERROR(INDEX(Input!$D$2:$D$501,MATCH(458,Input!$J$2:$J$501,0)),"")</f>
        <v>0</v>
      </c>
      <c r="E459" s="3" t="str">
        <f>IFERROR(INDEX(Input!$E$2:$E$501,MATCH(458,Input!$J$2:$J$501,0)),"")</f>
        <v>Nei</v>
      </c>
      <c r="F459" t="str">
        <f>IFERROR(INDEX(Input!$F$2:$F$501,MATCH(458,Input!$J$2:$J$501,0)),"")</f>
        <v>Nei</v>
      </c>
      <c r="G459" s="3" t="str">
        <f>IFERROR(INDEX(Input!$G$2:$G$501,MATCH(458,Input!$J$2:$J$501,0)),"")</f>
        <v>MANGLER</v>
      </c>
      <c r="H459" t="str">
        <f>IFERROR(INDEX(Input!$H$2:$H$501,MATCH(458,Input!$J$2:$J$501,0)),"")</f>
        <v>Nei</v>
      </c>
    </row>
    <row r="460" spans="1:8" x14ac:dyDescent="0.35">
      <c r="A460" t="str">
        <f>IFERROR(INDEX(Input!$A$2:$A$501,MATCH(459,Input!$J$2:$J$501,0)),"")</f>
        <v>Materialformer</v>
      </c>
      <c r="B460" t="str">
        <f>IFERROR(INDEX(Input!$B$2:$B$501,MATCH(459,Input!$J$2:$J$501,0)),"")</f>
        <v>Rivet</v>
      </c>
      <c r="C460" t="str">
        <f>IFERROR(INDEX(Input!$C$2:$C$501,MATCH(459,Input!$J$2:$J$501,0)),"")</f>
        <v>Small</v>
      </c>
      <c r="D460">
        <f>IFERROR(INDEX(Input!$D$2:$D$501,MATCH(459,Input!$J$2:$J$501,0)),"")</f>
        <v>0</v>
      </c>
      <c r="E460" s="3" t="str">
        <f>IFERROR(INDEX(Input!$E$2:$E$501,MATCH(459,Input!$J$2:$J$501,0)),"")</f>
        <v>Nei</v>
      </c>
      <c r="F460" t="str">
        <f>IFERROR(INDEX(Input!$F$2:$F$501,MATCH(459,Input!$J$2:$J$501,0)),"")</f>
        <v>Nei</v>
      </c>
      <c r="G460" s="3" t="str">
        <f>IFERROR(INDEX(Input!$G$2:$G$501,MATCH(459,Input!$J$2:$J$501,0)),"")</f>
        <v>MANGLER</v>
      </c>
      <c r="H460" t="str">
        <f>IFERROR(INDEX(Input!$H$2:$H$501,MATCH(459,Input!$J$2:$J$501,0)),"")</f>
        <v>Nei</v>
      </c>
    </row>
    <row r="461" spans="1:8" x14ac:dyDescent="0.35">
      <c r="A461" t="str">
        <f>IFERROR(INDEX(Input!$A$2:$A$501,MATCH(460,Input!$J$2:$J$501,0)),"")</f>
        <v>Materialformer</v>
      </c>
      <c r="B461" t="str">
        <f>IFERROR(INDEX(Input!$B$2:$B$501,MATCH(460,Input!$J$2:$J$501,0)),"")</f>
        <v>Rivet</v>
      </c>
      <c r="C461" t="str">
        <f>IFERROR(INDEX(Input!$C$2:$C$501,MATCH(460,Input!$J$2:$J$501,0)),"")</f>
        <v>Normal</v>
      </c>
      <c r="D461">
        <f>IFERROR(INDEX(Input!$D$2:$D$501,MATCH(460,Input!$J$2:$J$501,0)),"")</f>
        <v>1</v>
      </c>
      <c r="E461" s="3" t="str">
        <f>IFERROR(INDEX(Input!$E$2:$E$501,MATCH(460,Input!$J$2:$J$501,0)),"")</f>
        <v>Nei</v>
      </c>
      <c r="F461" t="str">
        <f>IFERROR(INDEX(Input!$F$2:$F$501,MATCH(460,Input!$J$2:$J$501,0)),"")</f>
        <v>Nei</v>
      </c>
      <c r="G461" s="3" t="str">
        <f>IFERROR(INDEX(Input!$G$2:$G$501,MATCH(460,Input!$J$2:$J$501,0)),"")</f>
        <v>MANGLER</v>
      </c>
      <c r="H461" t="str">
        <f>IFERROR(INDEX(Input!$H$2:$H$501,MATCH(460,Input!$J$2:$J$501,0)),"")</f>
        <v>Nei</v>
      </c>
    </row>
    <row r="462" spans="1:8" x14ac:dyDescent="0.35">
      <c r="A462" t="str">
        <f>IFERROR(INDEX(Input!$A$2:$A$501,MATCH(461,Input!$J$2:$J$501,0)),"")</f>
        <v>Materialformer</v>
      </c>
      <c r="B462" t="str">
        <f>IFERROR(INDEX(Input!$B$2:$B$501,MATCH(461,Input!$J$2:$J$501,0)),"")</f>
        <v>Rivet</v>
      </c>
      <c r="C462" t="str">
        <f>IFERROR(INDEX(Input!$C$2:$C$501,MATCH(461,Input!$J$2:$J$501,0)),"")</f>
        <v>Large</v>
      </c>
      <c r="D462">
        <f>IFERROR(INDEX(Input!$D$2:$D$501,MATCH(461,Input!$J$2:$J$501,0)),"")</f>
        <v>0</v>
      </c>
      <c r="E462" s="3" t="str">
        <f>IFERROR(INDEX(Input!$E$2:$E$501,MATCH(461,Input!$J$2:$J$501,0)),"")</f>
        <v>Nei</v>
      </c>
      <c r="F462" t="str">
        <f>IFERROR(INDEX(Input!$F$2:$F$501,MATCH(461,Input!$J$2:$J$501,0)),"")</f>
        <v>Nei</v>
      </c>
      <c r="G462" s="3" t="str">
        <f>IFERROR(INDEX(Input!$G$2:$G$501,MATCH(461,Input!$J$2:$J$501,0)),"")</f>
        <v>MANGLER</v>
      </c>
      <c r="H462" t="str">
        <f>IFERROR(INDEX(Input!$H$2:$H$501,MATCH(461,Input!$J$2:$J$501,0)),"")</f>
        <v>Nei</v>
      </c>
    </row>
    <row r="463" spans="1:8" x14ac:dyDescent="0.35">
      <c r="A463" t="str">
        <f>IFERROR(INDEX(Input!$A$2:$A$501,MATCH(462,Input!$J$2:$J$501,0)),"")</f>
        <v>Materialformer</v>
      </c>
      <c r="B463" t="str">
        <f>IFERROR(INDEX(Input!$B$2:$B$501,MATCH(462,Input!$J$2:$J$501,0)),"")</f>
        <v>Rivet</v>
      </c>
      <c r="C463" t="str">
        <f>IFERROR(INDEX(Input!$C$2:$C$501,MATCH(462,Input!$J$2:$J$501,0)),"")</f>
        <v>Huge</v>
      </c>
      <c r="D463">
        <f>IFERROR(INDEX(Input!$D$2:$D$501,MATCH(462,Input!$J$2:$J$501,0)),"")</f>
        <v>0</v>
      </c>
      <c r="E463" s="3" t="str">
        <f>IFERROR(INDEX(Input!$E$2:$E$501,MATCH(462,Input!$J$2:$J$501,0)),"")</f>
        <v>Nei</v>
      </c>
      <c r="F463" t="str">
        <f>IFERROR(INDEX(Input!$F$2:$F$501,MATCH(462,Input!$J$2:$J$501,0)),"")</f>
        <v>Nei</v>
      </c>
      <c r="G463" s="3" t="str">
        <f>IFERROR(INDEX(Input!$G$2:$G$501,MATCH(462,Input!$J$2:$J$501,0)),"")</f>
        <v>MANGLER</v>
      </c>
      <c r="H463" t="str">
        <f>IFERROR(INDEX(Input!$H$2:$H$501,MATCH(462,Input!$J$2:$J$501,0)),"")</f>
        <v>Nei</v>
      </c>
    </row>
    <row r="464" spans="1:8" x14ac:dyDescent="0.35">
      <c r="A464" t="str">
        <f>IFERROR(INDEX(Input!$A$2:$A$501,MATCH(463,Input!$J$2:$J$501,0)),"")</f>
        <v>Machine components</v>
      </c>
      <c r="B464" t="str">
        <f>IFERROR(INDEX(Input!$B$2:$B$501,MATCH(463,Input!$J$2:$J$501,0)),"")</f>
        <v>Robot Arm</v>
      </c>
      <c r="C464" t="str">
        <f>IFERROR(INDEX(Input!$C$2:$C$501,MATCH(463,Input!$J$2:$J$501,0)),"")</f>
        <v>Standard</v>
      </c>
      <c r="D464">
        <f>IFERROR(INDEX(Input!$D$2:$D$501,MATCH(463,Input!$J$2:$J$501,0)),"")</f>
        <v>0</v>
      </c>
      <c r="E464" s="3" t="str">
        <f>IFERROR(INDEX(Input!$E$2:$E$501,MATCH(463,Input!$J$2:$J$501,0)),"")</f>
        <v>Skal Ikke ha</v>
      </c>
      <c r="F464" t="str">
        <f>IFERROR(INDEX(Input!$F$2:$F$501,MATCH(463,Input!$J$2:$J$501,0)),"")</f>
        <v>Nei</v>
      </c>
      <c r="G464" s="3" t="str">
        <f>IFERROR(INDEX(Input!$G$2:$G$501,MATCH(463,Input!$J$2:$J$501,0)),"")</f>
        <v>MANGLER</v>
      </c>
      <c r="H464" t="str">
        <f>IFERROR(INDEX(Input!$H$2:$H$501,MATCH(463,Input!$J$2:$J$501,0)),"")</f>
        <v>Nei</v>
      </c>
    </row>
    <row r="465" spans="1:8" x14ac:dyDescent="0.35">
      <c r="A465" t="str">
        <f>IFERROR(INDEX(Input!$A$2:$A$501,MATCH(464,Input!$J$2:$J$501,0)),"")</f>
        <v>Materialformer</v>
      </c>
      <c r="B465" t="str">
        <f>IFERROR(INDEX(Input!$B$2:$B$501,MATCH(464,Input!$J$2:$J$501,0)),"")</f>
        <v>Rod</v>
      </c>
      <c r="C465" t="str">
        <f>IFERROR(INDEX(Input!$C$2:$C$501,MATCH(464,Input!$J$2:$J$501,0)),"")</f>
        <v>Very Short</v>
      </c>
      <c r="D465">
        <f>IFERROR(INDEX(Input!$D$2:$D$501,MATCH(464,Input!$J$2:$J$501,0)),"")</f>
        <v>0</v>
      </c>
      <c r="E465" s="3" t="str">
        <f>IFERROR(INDEX(Input!$E$2:$E$501,MATCH(464,Input!$J$2:$J$501,0)),"")</f>
        <v>Nei</v>
      </c>
      <c r="F465" t="str">
        <f>IFERROR(INDEX(Input!$F$2:$F$501,MATCH(464,Input!$J$2:$J$501,0)),"")</f>
        <v>Nei</v>
      </c>
      <c r="G465" s="3" t="str">
        <f>IFERROR(INDEX(Input!$G$2:$G$501,MATCH(464,Input!$J$2:$J$501,0)),"")</f>
        <v>MANGLER</v>
      </c>
      <c r="H465" t="str">
        <f>IFERROR(INDEX(Input!$H$2:$H$501,MATCH(464,Input!$J$2:$J$501,0)),"")</f>
        <v>Nei</v>
      </c>
    </row>
    <row r="466" spans="1:8" x14ac:dyDescent="0.35">
      <c r="A466" t="str">
        <f>IFERROR(INDEX(Input!$A$2:$A$501,MATCH(465,Input!$J$2:$J$501,0)),"")</f>
        <v>Materialformer</v>
      </c>
      <c r="B466" t="str">
        <f>IFERROR(INDEX(Input!$B$2:$B$501,MATCH(465,Input!$J$2:$J$501,0)),"")</f>
        <v>Rod</v>
      </c>
      <c r="C466" t="str">
        <f>IFERROR(INDEX(Input!$C$2:$C$501,MATCH(465,Input!$J$2:$J$501,0)),"")</f>
        <v>Short</v>
      </c>
      <c r="D466">
        <f>IFERROR(INDEX(Input!$D$2:$D$501,MATCH(465,Input!$J$2:$J$501,0)),"")</f>
        <v>0</v>
      </c>
      <c r="E466" s="3" t="str">
        <f>IFERROR(INDEX(Input!$E$2:$E$501,MATCH(465,Input!$J$2:$J$501,0)),"")</f>
        <v>Nei</v>
      </c>
      <c r="F466" t="str">
        <f>IFERROR(INDEX(Input!$F$2:$F$501,MATCH(465,Input!$J$2:$J$501,0)),"")</f>
        <v>Nei</v>
      </c>
      <c r="G466" s="3" t="str">
        <f>IFERROR(INDEX(Input!$G$2:$G$501,MATCH(465,Input!$J$2:$J$501,0)),"")</f>
        <v>MANGLER</v>
      </c>
      <c r="H466" t="str">
        <f>IFERROR(INDEX(Input!$H$2:$H$501,MATCH(465,Input!$J$2:$J$501,0)),"")</f>
        <v>Nei</v>
      </c>
    </row>
    <row r="467" spans="1:8" x14ac:dyDescent="0.35">
      <c r="A467" t="str">
        <f>IFERROR(INDEX(Input!$A$2:$A$501,MATCH(466,Input!$J$2:$J$501,0)),"")</f>
        <v>Materialformer</v>
      </c>
      <c r="B467" t="str">
        <f>IFERROR(INDEX(Input!$B$2:$B$501,MATCH(466,Input!$J$2:$J$501,0)),"")</f>
        <v>Rod</v>
      </c>
      <c r="C467" t="str">
        <f>IFERROR(INDEX(Input!$C$2:$C$501,MATCH(466,Input!$J$2:$J$501,0)),"")</f>
        <v>Normal</v>
      </c>
      <c r="D467">
        <f>IFERROR(INDEX(Input!$D$2:$D$501,MATCH(466,Input!$J$2:$J$501,0)),"")</f>
        <v>0</v>
      </c>
      <c r="E467" s="3" t="str">
        <f>IFERROR(INDEX(Input!$E$2:$E$501,MATCH(466,Input!$J$2:$J$501,0)),"")</f>
        <v>Nei</v>
      </c>
      <c r="F467" t="str">
        <f>IFERROR(INDEX(Input!$F$2:$F$501,MATCH(466,Input!$J$2:$J$501,0)),"")</f>
        <v>Ja</v>
      </c>
      <c r="G467" s="3" t="str">
        <f>IFERROR(INDEX(Input!$G$2:$G$501,MATCH(466,Input!$J$2:$J$501,0)),"")</f>
        <v>MANGLER</v>
      </c>
      <c r="H467" t="str">
        <f>IFERROR(INDEX(Input!$H$2:$H$501,MATCH(466,Input!$J$2:$J$501,0)),"")</f>
        <v>Nei</v>
      </c>
    </row>
    <row r="468" spans="1:8" x14ac:dyDescent="0.35">
      <c r="A468" t="str">
        <f>IFERROR(INDEX(Input!$A$2:$A$501,MATCH(467,Input!$J$2:$J$501,0)),"")</f>
        <v>Materialformer</v>
      </c>
      <c r="B468" t="str">
        <f>IFERROR(INDEX(Input!$B$2:$B$501,MATCH(467,Input!$J$2:$J$501,0)),"")</f>
        <v>Rod</v>
      </c>
      <c r="C468" t="str">
        <f>IFERROR(INDEX(Input!$C$2:$C$501,MATCH(467,Input!$J$2:$J$501,0)),"")</f>
        <v>Long</v>
      </c>
      <c r="D468">
        <f>IFERROR(INDEX(Input!$D$2:$D$501,MATCH(467,Input!$J$2:$J$501,0)),"")</f>
        <v>4</v>
      </c>
      <c r="E468" s="3" t="str">
        <f>IFERROR(INDEX(Input!$E$2:$E$501,MATCH(467,Input!$J$2:$J$501,0)),"")</f>
        <v>Nei</v>
      </c>
      <c r="F468" t="str">
        <f>IFERROR(INDEX(Input!$F$2:$F$501,MATCH(467,Input!$J$2:$J$501,0)),"")</f>
        <v>Ja</v>
      </c>
      <c r="G468" s="3" t="str">
        <f>IFERROR(INDEX(Input!$G$2:$G$501,MATCH(467,Input!$J$2:$J$501,0)),"")</f>
        <v>MANGLER</v>
      </c>
      <c r="H468" t="str">
        <f>IFERROR(INDEX(Input!$H$2:$H$501,MATCH(467,Input!$J$2:$J$501,0)),"")</f>
        <v>Nei</v>
      </c>
    </row>
    <row r="469" spans="1:8" x14ac:dyDescent="0.35">
      <c r="A469" t="str">
        <f>IFERROR(INDEX(Input!$A$2:$A$501,MATCH(468,Input!$J$2:$J$501,0)),"")</f>
        <v>Materialformer</v>
      </c>
      <c r="B469" t="str">
        <f>IFERROR(INDEX(Input!$B$2:$B$501,MATCH(468,Input!$J$2:$J$501,0)),"")</f>
        <v>Rod</v>
      </c>
      <c r="C469" t="str">
        <f>IFERROR(INDEX(Input!$C$2:$C$501,MATCH(468,Input!$J$2:$J$501,0)),"")</f>
        <v>Very Long</v>
      </c>
      <c r="D469">
        <f>IFERROR(INDEX(Input!$D$2:$D$501,MATCH(468,Input!$J$2:$J$501,0)),"")</f>
        <v>4</v>
      </c>
      <c r="E469" s="3" t="str">
        <f>IFERROR(INDEX(Input!$E$2:$E$501,MATCH(468,Input!$J$2:$J$501,0)),"")</f>
        <v>Ja</v>
      </c>
      <c r="F469" t="str">
        <f>IFERROR(INDEX(Input!$F$2:$F$501,MATCH(468,Input!$J$2:$J$501,0)),"")</f>
        <v>Nei</v>
      </c>
      <c r="G469" s="3" t="str">
        <f>IFERROR(INDEX(Input!$G$2:$G$501,MATCH(468,Input!$J$2:$J$501,0)),"")</f>
        <v>MANGLER</v>
      </c>
      <c r="H469" t="str">
        <f>IFERROR(INDEX(Input!$H$2:$H$501,MATCH(468,Input!$J$2:$J$501,0)),"")</f>
        <v>Nei</v>
      </c>
    </row>
    <row r="470" spans="1:8" x14ac:dyDescent="0.35">
      <c r="A470" t="str">
        <f>IFERROR(INDEX(Input!$A$2:$A$501,MATCH(469,Input!$J$2:$J$501,0)),"")</f>
        <v>Materialformer</v>
      </c>
      <c r="B470" t="str">
        <f>IFERROR(INDEX(Input!$B$2:$B$501,MATCH(469,Input!$J$2:$J$501,0)),"")</f>
        <v>Rotor</v>
      </c>
      <c r="C470" t="str">
        <f>IFERROR(INDEX(Input!$C$2:$C$501,MATCH(469,Input!$J$2:$J$501,0)),"")</f>
        <v>Tiny</v>
      </c>
      <c r="D470">
        <f>IFERROR(INDEX(Input!$D$2:$D$501,MATCH(469,Input!$J$2:$J$501,0)),"")</f>
        <v>0</v>
      </c>
      <c r="E470" s="3" t="str">
        <f>IFERROR(INDEX(Input!$E$2:$E$501,MATCH(469,Input!$J$2:$J$501,0)),"")</f>
        <v>Nei</v>
      </c>
      <c r="F470" t="str">
        <f>IFERROR(INDEX(Input!$F$2:$F$501,MATCH(469,Input!$J$2:$J$501,0)),"")</f>
        <v>Nei</v>
      </c>
      <c r="G470" s="3" t="str">
        <f>IFERROR(INDEX(Input!$G$2:$G$501,MATCH(469,Input!$J$2:$J$501,0)),"")</f>
        <v>MANGLER</v>
      </c>
      <c r="H470" t="str">
        <f>IFERROR(INDEX(Input!$H$2:$H$501,MATCH(469,Input!$J$2:$J$501,0)),"")</f>
        <v>Nei</v>
      </c>
    </row>
    <row r="471" spans="1:8" x14ac:dyDescent="0.35">
      <c r="A471" t="str">
        <f>IFERROR(INDEX(Input!$A$2:$A$501,MATCH(470,Input!$J$2:$J$501,0)),"")</f>
        <v>Materialformer</v>
      </c>
      <c r="B471" t="str">
        <f>IFERROR(INDEX(Input!$B$2:$B$501,MATCH(470,Input!$J$2:$J$501,0)),"")</f>
        <v>Rotor</v>
      </c>
      <c r="C471" t="str">
        <f>IFERROR(INDEX(Input!$C$2:$C$501,MATCH(470,Input!$J$2:$J$501,0)),"")</f>
        <v>Small</v>
      </c>
      <c r="D471">
        <f>IFERROR(INDEX(Input!$D$2:$D$501,MATCH(470,Input!$J$2:$J$501,0)),"")</f>
        <v>0</v>
      </c>
      <c r="E471" s="3" t="str">
        <f>IFERROR(INDEX(Input!$E$2:$E$501,MATCH(470,Input!$J$2:$J$501,0)),"")</f>
        <v>Nei</v>
      </c>
      <c r="F471" t="str">
        <f>IFERROR(INDEX(Input!$F$2:$F$501,MATCH(470,Input!$J$2:$J$501,0)),"")</f>
        <v>Nei</v>
      </c>
      <c r="G471" s="3" t="str">
        <f>IFERROR(INDEX(Input!$G$2:$G$501,MATCH(470,Input!$J$2:$J$501,0)),"")</f>
        <v>MANGLER</v>
      </c>
      <c r="H471" t="str">
        <f>IFERROR(INDEX(Input!$H$2:$H$501,MATCH(470,Input!$J$2:$J$501,0)),"")</f>
        <v>Nei</v>
      </c>
    </row>
    <row r="472" spans="1:8" x14ac:dyDescent="0.35">
      <c r="A472" t="str">
        <f>IFERROR(INDEX(Input!$A$2:$A$501,MATCH(471,Input!$J$2:$J$501,0)),"")</f>
        <v>Materialformer</v>
      </c>
      <c r="B472" t="str">
        <f>IFERROR(INDEX(Input!$B$2:$B$501,MATCH(471,Input!$J$2:$J$501,0)),"")</f>
        <v>Rotor</v>
      </c>
      <c r="C472" t="str">
        <f>IFERROR(INDEX(Input!$C$2:$C$501,MATCH(471,Input!$J$2:$J$501,0)),"")</f>
        <v>Normal</v>
      </c>
      <c r="D472">
        <f>IFERROR(INDEX(Input!$D$2:$D$501,MATCH(471,Input!$J$2:$J$501,0)),"")</f>
        <v>0</v>
      </c>
      <c r="E472" s="3" t="str">
        <f>IFERROR(INDEX(Input!$E$2:$E$501,MATCH(471,Input!$J$2:$J$501,0)),"")</f>
        <v>Nei</v>
      </c>
      <c r="F472" t="str">
        <f>IFERROR(INDEX(Input!$F$2:$F$501,MATCH(471,Input!$J$2:$J$501,0)),"")</f>
        <v>Nei</v>
      </c>
      <c r="G472" s="3" t="str">
        <f>IFERROR(INDEX(Input!$G$2:$G$501,MATCH(471,Input!$J$2:$J$501,0)),"")</f>
        <v>MANGLER</v>
      </c>
      <c r="H472" t="str">
        <f>IFERROR(INDEX(Input!$H$2:$H$501,MATCH(471,Input!$J$2:$J$501,0)),"")</f>
        <v>Nei</v>
      </c>
    </row>
    <row r="473" spans="1:8" x14ac:dyDescent="0.35">
      <c r="A473" t="str">
        <f>IFERROR(INDEX(Input!$A$2:$A$501,MATCH(472,Input!$J$2:$J$501,0)),"")</f>
        <v>Materialformer</v>
      </c>
      <c r="B473" t="str">
        <f>IFERROR(INDEX(Input!$B$2:$B$501,MATCH(472,Input!$J$2:$J$501,0)),"")</f>
        <v>Rotor</v>
      </c>
      <c r="C473" t="str">
        <f>IFERROR(INDEX(Input!$C$2:$C$501,MATCH(472,Input!$J$2:$J$501,0)),"")</f>
        <v>Large</v>
      </c>
      <c r="D473">
        <f>IFERROR(INDEX(Input!$D$2:$D$501,MATCH(472,Input!$J$2:$J$501,0)),"")</f>
        <v>3</v>
      </c>
      <c r="E473" s="3" t="str">
        <f>IFERROR(INDEX(Input!$E$2:$E$501,MATCH(472,Input!$J$2:$J$501,0)),"")</f>
        <v>Ja</v>
      </c>
      <c r="F473" t="str">
        <f>IFERROR(INDEX(Input!$F$2:$F$501,MATCH(472,Input!$J$2:$J$501,0)),"")</f>
        <v>Nei</v>
      </c>
      <c r="G473" s="3" t="str">
        <f>IFERROR(INDEX(Input!$G$2:$G$501,MATCH(472,Input!$J$2:$J$501,0)),"")</f>
        <v>MANGLER</v>
      </c>
      <c r="H473" t="str">
        <f>IFERROR(INDEX(Input!$H$2:$H$501,MATCH(472,Input!$J$2:$J$501,0)),"")</f>
        <v>Nei</v>
      </c>
    </row>
    <row r="474" spans="1:8" x14ac:dyDescent="0.35">
      <c r="A474" t="str">
        <f>IFERROR(INDEX(Input!$A$2:$A$501,MATCH(473,Input!$J$2:$J$501,0)),"")</f>
        <v>Materialformer</v>
      </c>
      <c r="B474" t="str">
        <f>IFERROR(INDEX(Input!$B$2:$B$501,MATCH(473,Input!$J$2:$J$501,0)),"")</f>
        <v>Rotor</v>
      </c>
      <c r="C474" t="str">
        <f>IFERROR(INDEX(Input!$C$2:$C$501,MATCH(473,Input!$J$2:$J$501,0)),"")</f>
        <v>Huge</v>
      </c>
      <c r="D474">
        <f>IFERROR(INDEX(Input!$D$2:$D$501,MATCH(473,Input!$J$2:$J$501,0)),"")</f>
        <v>0</v>
      </c>
      <c r="E474" s="3" t="str">
        <f>IFERROR(INDEX(Input!$E$2:$E$501,MATCH(473,Input!$J$2:$J$501,0)),"")</f>
        <v>Nei</v>
      </c>
      <c r="F474" t="str">
        <f>IFERROR(INDEX(Input!$F$2:$F$501,MATCH(473,Input!$J$2:$J$501,0)),"")</f>
        <v>Nei</v>
      </c>
      <c r="G474" s="3" t="str">
        <f>IFERROR(INDEX(Input!$G$2:$G$501,MATCH(473,Input!$J$2:$J$501,0)),"")</f>
        <v>MANGLER</v>
      </c>
      <c r="H474" t="str">
        <f>IFERROR(INDEX(Input!$H$2:$H$501,MATCH(473,Input!$J$2:$J$501,0)),"")</f>
        <v>Nei</v>
      </c>
    </row>
    <row r="475" spans="1:8" x14ac:dyDescent="0.35">
      <c r="A475" t="str">
        <f>IFERROR(INDEX(Input!$A$2:$A$501,MATCH(474,Input!$J$2:$J$501,0)),"")</f>
        <v>Tool components</v>
      </c>
      <c r="B475" t="str">
        <f>IFERROR(INDEX(Input!$B$2:$B$501,MATCH(474,Input!$J$2:$J$501,0)),"")</f>
        <v>Saw Blade</v>
      </c>
      <c r="C475" t="str">
        <f>IFERROR(INDEX(Input!$C$2:$C$501,MATCH(474,Input!$J$2:$J$501,0)),"")</f>
        <v>Standard</v>
      </c>
      <c r="D475">
        <f>IFERROR(INDEX(Input!$D$2:$D$501,MATCH(474,Input!$J$2:$J$501,0)),"")</f>
        <v>0</v>
      </c>
      <c r="E475" s="3" t="str">
        <f>IFERROR(INDEX(Input!$E$2:$E$501,MATCH(474,Input!$J$2:$J$501,0)),"")</f>
        <v>Nei</v>
      </c>
      <c r="F475" t="str">
        <f>IFERROR(INDEX(Input!$F$2:$F$501,MATCH(474,Input!$J$2:$J$501,0)),"")</f>
        <v>Nei</v>
      </c>
      <c r="G475" s="3" t="str">
        <f>IFERROR(INDEX(Input!$G$2:$G$501,MATCH(474,Input!$J$2:$J$501,0)),"")</f>
        <v>MANGLER</v>
      </c>
      <c r="H475" t="str">
        <f>IFERROR(INDEX(Input!$H$2:$H$501,MATCH(474,Input!$J$2:$J$501,0)),"")</f>
        <v>Nei</v>
      </c>
    </row>
    <row r="476" spans="1:8" x14ac:dyDescent="0.35">
      <c r="A476" t="str">
        <f>IFERROR(INDEX(Input!$A$2:$A$501,MATCH(475,Input!$J$2:$J$501,0)),"")</f>
        <v>Materialformer</v>
      </c>
      <c r="B476" t="str">
        <f>IFERROR(INDEX(Input!$B$2:$B$501,MATCH(475,Input!$J$2:$J$501,0)),"")</f>
        <v>Screw</v>
      </c>
      <c r="C476" t="str">
        <f>IFERROR(INDEX(Input!$C$2:$C$501,MATCH(475,Input!$J$2:$J$501,0)),"")</f>
        <v>Tiny</v>
      </c>
      <c r="D476">
        <f>IFERROR(INDEX(Input!$D$2:$D$501,MATCH(475,Input!$J$2:$J$501,0)),"")</f>
        <v>0</v>
      </c>
      <c r="E476" s="3" t="str">
        <f>IFERROR(INDEX(Input!$E$2:$E$501,MATCH(475,Input!$J$2:$J$501,0)),"")</f>
        <v>Skal Ikke ha</v>
      </c>
      <c r="F476" t="str">
        <f>IFERROR(INDEX(Input!$F$2:$F$501,MATCH(475,Input!$J$2:$J$501,0)),"")</f>
        <v>Nei</v>
      </c>
      <c r="G476" s="3" t="str">
        <f>IFERROR(INDEX(Input!$G$2:$G$501,MATCH(475,Input!$J$2:$J$501,0)),"")</f>
        <v>MANGLER</v>
      </c>
      <c r="H476" t="str">
        <f>IFERROR(INDEX(Input!$H$2:$H$501,MATCH(475,Input!$J$2:$J$501,0)),"")</f>
        <v>Nei</v>
      </c>
    </row>
    <row r="477" spans="1:8" x14ac:dyDescent="0.35">
      <c r="A477" t="str">
        <f>IFERROR(INDEX(Input!$A$2:$A$501,MATCH(476,Input!$J$2:$J$501,0)),"")</f>
        <v>Materialformer</v>
      </c>
      <c r="B477" t="str">
        <f>IFERROR(INDEX(Input!$B$2:$B$501,MATCH(476,Input!$J$2:$J$501,0)),"")</f>
        <v>Screw</v>
      </c>
      <c r="C477" t="str">
        <f>IFERROR(INDEX(Input!$C$2:$C$501,MATCH(476,Input!$J$2:$J$501,0)),"")</f>
        <v>Small</v>
      </c>
      <c r="D477">
        <f>IFERROR(INDEX(Input!$D$2:$D$501,MATCH(476,Input!$J$2:$J$501,0)),"")</f>
        <v>0</v>
      </c>
      <c r="E477" s="3" t="str">
        <f>IFERROR(INDEX(Input!$E$2:$E$501,MATCH(476,Input!$J$2:$J$501,0)),"")</f>
        <v>Skal Ikke ha</v>
      </c>
      <c r="F477" t="str">
        <f>IFERROR(INDEX(Input!$F$2:$F$501,MATCH(476,Input!$J$2:$J$501,0)),"")</f>
        <v>Nei</v>
      </c>
      <c r="G477" s="3" t="str">
        <f>IFERROR(INDEX(Input!$G$2:$G$501,MATCH(476,Input!$J$2:$J$501,0)),"")</f>
        <v>MANGLER</v>
      </c>
      <c r="H477" t="str">
        <f>IFERROR(INDEX(Input!$H$2:$H$501,MATCH(476,Input!$J$2:$J$501,0)),"")</f>
        <v>Nei</v>
      </c>
    </row>
    <row r="478" spans="1:8" x14ac:dyDescent="0.35">
      <c r="A478" t="str">
        <f>IFERROR(INDEX(Input!$A$2:$A$501,MATCH(477,Input!$J$2:$J$501,0)),"")</f>
        <v>Materialformer</v>
      </c>
      <c r="B478" t="str">
        <f>IFERROR(INDEX(Input!$B$2:$B$501,MATCH(477,Input!$J$2:$J$501,0)),"")</f>
        <v>Screw</v>
      </c>
      <c r="C478" t="str">
        <f>IFERROR(INDEX(Input!$C$2:$C$501,MATCH(477,Input!$J$2:$J$501,0)),"")</f>
        <v>Normal</v>
      </c>
      <c r="D478">
        <f>IFERROR(INDEX(Input!$D$2:$D$501,MATCH(477,Input!$J$2:$J$501,0)),"")</f>
        <v>5</v>
      </c>
      <c r="E478" s="3" t="str">
        <f>IFERROR(INDEX(Input!$E$2:$E$501,MATCH(477,Input!$J$2:$J$501,0)),"")</f>
        <v>Skal Ikke ha</v>
      </c>
      <c r="F478" t="str">
        <f>IFERROR(INDEX(Input!$F$2:$F$501,MATCH(477,Input!$J$2:$J$501,0)),"")</f>
        <v>Ja</v>
      </c>
      <c r="G478" s="3" t="str">
        <f>IFERROR(INDEX(Input!$G$2:$G$501,MATCH(477,Input!$J$2:$J$501,0)),"")</f>
        <v>MANGLER</v>
      </c>
      <c r="H478" t="str">
        <f>IFERROR(INDEX(Input!$H$2:$H$501,MATCH(477,Input!$J$2:$J$501,0)),"")</f>
        <v>Nei</v>
      </c>
    </row>
    <row r="479" spans="1:8" x14ac:dyDescent="0.35">
      <c r="A479" t="str">
        <f>IFERROR(INDEX(Input!$A$2:$A$501,MATCH(478,Input!$J$2:$J$501,0)),"")</f>
        <v>Materialformer</v>
      </c>
      <c r="B479" t="str">
        <f>IFERROR(INDEX(Input!$B$2:$B$501,MATCH(478,Input!$J$2:$J$501,0)),"")</f>
        <v>Screw</v>
      </c>
      <c r="C479" t="str">
        <f>IFERROR(INDEX(Input!$C$2:$C$501,MATCH(478,Input!$J$2:$J$501,0)),"")</f>
        <v>Large</v>
      </c>
      <c r="D479">
        <f>IFERROR(INDEX(Input!$D$2:$D$501,MATCH(478,Input!$J$2:$J$501,0)),"")</f>
        <v>0</v>
      </c>
      <c r="E479" s="3" t="str">
        <f>IFERROR(INDEX(Input!$E$2:$E$501,MATCH(478,Input!$J$2:$J$501,0)),"")</f>
        <v>Skal Ikke ha</v>
      </c>
      <c r="F479" t="str">
        <f>IFERROR(INDEX(Input!$F$2:$F$501,MATCH(478,Input!$J$2:$J$501,0)),"")</f>
        <v>Nei</v>
      </c>
      <c r="G479" s="3" t="str">
        <f>IFERROR(INDEX(Input!$G$2:$G$501,MATCH(478,Input!$J$2:$J$501,0)),"")</f>
        <v>MANGLER</v>
      </c>
      <c r="H479" t="str">
        <f>IFERROR(INDEX(Input!$H$2:$H$501,MATCH(478,Input!$J$2:$J$501,0)),"")</f>
        <v>Nei</v>
      </c>
    </row>
    <row r="480" spans="1:8" x14ac:dyDescent="0.35">
      <c r="A480" t="str">
        <f>IFERROR(INDEX(Input!$A$2:$A$501,MATCH(479,Input!$J$2:$J$501,0)),"")</f>
        <v>Materialformer</v>
      </c>
      <c r="B480" t="str">
        <f>IFERROR(INDEX(Input!$B$2:$B$501,MATCH(479,Input!$J$2:$J$501,0)),"")</f>
        <v>Screw</v>
      </c>
      <c r="C480" t="str">
        <f>IFERROR(INDEX(Input!$C$2:$C$501,MATCH(479,Input!$J$2:$J$501,0)),"")</f>
        <v>Huge</v>
      </c>
      <c r="D480">
        <f>IFERROR(INDEX(Input!$D$2:$D$501,MATCH(479,Input!$J$2:$J$501,0)),"")</f>
        <v>0</v>
      </c>
      <c r="E480" s="3" t="str">
        <f>IFERROR(INDEX(Input!$E$2:$E$501,MATCH(479,Input!$J$2:$J$501,0)),"")</f>
        <v>Skal Ikke ha</v>
      </c>
      <c r="F480" t="str">
        <f>IFERROR(INDEX(Input!$F$2:$F$501,MATCH(479,Input!$J$2:$J$501,0)),"")</f>
        <v>Nei</v>
      </c>
      <c r="G480" s="3" t="str">
        <f>IFERROR(INDEX(Input!$G$2:$G$501,MATCH(479,Input!$J$2:$J$501,0)),"")</f>
        <v>MANGLER</v>
      </c>
      <c r="H480" t="str">
        <f>IFERROR(INDEX(Input!$H$2:$H$501,MATCH(479,Input!$J$2:$J$501,0)),"")</f>
        <v>Nei</v>
      </c>
    </row>
    <row r="481" spans="1:8" x14ac:dyDescent="0.35">
      <c r="A481" t="str">
        <f>IFERROR(INDEX(Input!$A$2:$A$501,MATCH(480,Input!$J$2:$J$501,0)),"")</f>
        <v>Tool components</v>
      </c>
      <c r="B481" t="str">
        <f>IFERROR(INDEX(Input!$B$2:$B$501,MATCH(480,Input!$J$2:$J$501,0)),"")</f>
        <v>Screwdriver Head</v>
      </c>
      <c r="C481" t="str">
        <f>IFERROR(INDEX(Input!$C$2:$C$501,MATCH(480,Input!$J$2:$J$501,0)),"")</f>
        <v>Standard</v>
      </c>
      <c r="D481">
        <f>IFERROR(INDEX(Input!$D$2:$D$501,MATCH(480,Input!$J$2:$J$501,0)),"")</f>
        <v>2</v>
      </c>
      <c r="E481" s="3" t="str">
        <f>IFERROR(INDEX(Input!$E$2:$E$501,MATCH(480,Input!$J$2:$J$501,0)),"")</f>
        <v>Nei</v>
      </c>
      <c r="F481" t="str">
        <f>IFERROR(INDEX(Input!$F$2:$F$501,MATCH(480,Input!$J$2:$J$501,0)),"")</f>
        <v>Ja</v>
      </c>
      <c r="G481" s="3" t="str">
        <f>IFERROR(INDEX(Input!$G$2:$G$501,MATCH(480,Input!$J$2:$J$501,0)),"")</f>
        <v>MANGLER</v>
      </c>
      <c r="H481" t="str">
        <f>IFERROR(INDEX(Input!$H$2:$H$501,MATCH(480,Input!$J$2:$J$501,0)),"")</f>
        <v>Nei</v>
      </c>
    </row>
    <row r="482" spans="1:8" x14ac:dyDescent="0.35">
      <c r="A482" t="str">
        <f>IFERROR(INDEX(Input!$A$2:$A$501,MATCH(481,Input!$J$2:$J$501,0)),"")</f>
        <v>Machine components</v>
      </c>
      <c r="B482" t="str">
        <f>IFERROR(INDEX(Input!$B$2:$B$501,MATCH(481,Input!$J$2:$J$501,0)),"")</f>
        <v>Sensor</v>
      </c>
      <c r="C482" t="str">
        <f>IFERROR(INDEX(Input!$C$2:$C$501,MATCH(481,Input!$J$2:$J$501,0)),"")</f>
        <v>Standard</v>
      </c>
      <c r="D482">
        <f>IFERROR(INDEX(Input!$D$2:$D$501,MATCH(481,Input!$J$2:$J$501,0)),"")</f>
        <v>0</v>
      </c>
      <c r="E482" s="3" t="str">
        <f>IFERROR(INDEX(Input!$E$2:$E$501,MATCH(481,Input!$J$2:$J$501,0)),"")</f>
        <v>Skal Ikke ha</v>
      </c>
      <c r="F482" t="str">
        <f>IFERROR(INDEX(Input!$F$2:$F$501,MATCH(481,Input!$J$2:$J$501,0)),"")</f>
        <v>Nei</v>
      </c>
      <c r="G482" s="3" t="str">
        <f>IFERROR(INDEX(Input!$G$2:$G$501,MATCH(481,Input!$J$2:$J$501,0)),"")</f>
        <v>MANGLER</v>
      </c>
      <c r="H482" t="str">
        <f>IFERROR(INDEX(Input!$H$2:$H$501,MATCH(481,Input!$J$2:$J$501,0)),"")</f>
        <v>Nei</v>
      </c>
    </row>
    <row r="483" spans="1:8" x14ac:dyDescent="0.35">
      <c r="A483" t="str">
        <f>IFERROR(INDEX(Input!$A$2:$A$501,MATCH(482,Input!$J$2:$J$501,0)),"")</f>
        <v>Tool components</v>
      </c>
      <c r="B483" t="str">
        <f>IFERROR(INDEX(Input!$B$2:$B$501,MATCH(482,Input!$J$2:$J$501,0)),"")</f>
        <v>Shovel Head</v>
      </c>
      <c r="C483" t="str">
        <f>IFERROR(INDEX(Input!$C$2:$C$501,MATCH(482,Input!$J$2:$J$501,0)),"")</f>
        <v>Standard</v>
      </c>
      <c r="D483">
        <f>IFERROR(INDEX(Input!$D$2:$D$501,MATCH(482,Input!$J$2:$J$501,0)),"")</f>
        <v>0</v>
      </c>
      <c r="E483" s="3" t="str">
        <f>IFERROR(INDEX(Input!$E$2:$E$501,MATCH(482,Input!$J$2:$J$501,0)),"")</f>
        <v>Nei</v>
      </c>
      <c r="F483" t="str">
        <f>IFERROR(INDEX(Input!$F$2:$F$501,MATCH(482,Input!$J$2:$J$501,0)),"")</f>
        <v>Nei</v>
      </c>
      <c r="G483" s="3" t="str">
        <f>IFERROR(INDEX(Input!$G$2:$G$501,MATCH(482,Input!$J$2:$J$501,0)),"")</f>
        <v>MANGLER</v>
      </c>
      <c r="H483" t="str">
        <f>IFERROR(INDEX(Input!$H$2:$H$501,MATCH(482,Input!$J$2:$J$501,0)),"")</f>
        <v>Nei</v>
      </c>
    </row>
    <row r="484" spans="1:8" x14ac:dyDescent="0.35">
      <c r="A484" t="str">
        <f>IFERROR(INDEX(Input!$A$2:$A$501,MATCH(483,Input!$J$2:$J$501,0)),"")</f>
        <v>Materialformer</v>
      </c>
      <c r="B484" t="str">
        <f>IFERROR(INDEX(Input!$B$2:$B$501,MATCH(483,Input!$J$2:$J$501,0)),"")</f>
        <v>Spring</v>
      </c>
      <c r="C484" t="str">
        <f>IFERROR(INDEX(Input!$C$2:$C$501,MATCH(483,Input!$J$2:$J$501,0)),"")</f>
        <v>Tiny</v>
      </c>
      <c r="D484">
        <f>IFERROR(INDEX(Input!$D$2:$D$501,MATCH(483,Input!$J$2:$J$501,0)),"")</f>
        <v>0</v>
      </c>
      <c r="E484" s="3" t="str">
        <f>IFERROR(INDEX(Input!$E$2:$E$501,MATCH(483,Input!$J$2:$J$501,0)),"")</f>
        <v>Skal Ikke ha</v>
      </c>
      <c r="F484" t="str">
        <f>IFERROR(INDEX(Input!$F$2:$F$501,MATCH(483,Input!$J$2:$J$501,0)),"")</f>
        <v>Nei</v>
      </c>
      <c r="G484" s="3" t="str">
        <f>IFERROR(INDEX(Input!$G$2:$G$501,MATCH(483,Input!$J$2:$J$501,0)),"")</f>
        <v>MANGLER</v>
      </c>
      <c r="H484" t="str">
        <f>IFERROR(INDEX(Input!$H$2:$H$501,MATCH(483,Input!$J$2:$J$501,0)),"")</f>
        <v>Nei</v>
      </c>
    </row>
    <row r="485" spans="1:8" x14ac:dyDescent="0.35">
      <c r="A485" t="str">
        <f>IFERROR(INDEX(Input!$A$2:$A$501,MATCH(484,Input!$J$2:$J$501,0)),"")</f>
        <v>Materialformer</v>
      </c>
      <c r="B485" t="str">
        <f>IFERROR(INDEX(Input!$B$2:$B$501,MATCH(484,Input!$J$2:$J$501,0)),"")</f>
        <v>Spring</v>
      </c>
      <c r="C485" t="str">
        <f>IFERROR(INDEX(Input!$C$2:$C$501,MATCH(484,Input!$J$2:$J$501,0)),"")</f>
        <v>Small</v>
      </c>
      <c r="D485">
        <f>IFERROR(INDEX(Input!$D$2:$D$501,MATCH(484,Input!$J$2:$J$501,0)),"")</f>
        <v>0</v>
      </c>
      <c r="E485" s="3" t="str">
        <f>IFERROR(INDEX(Input!$E$2:$E$501,MATCH(484,Input!$J$2:$J$501,0)),"")</f>
        <v>Skal Ikke ha</v>
      </c>
      <c r="F485" t="str">
        <f>IFERROR(INDEX(Input!$F$2:$F$501,MATCH(484,Input!$J$2:$J$501,0)),"")</f>
        <v>Nei</v>
      </c>
      <c r="G485" s="3" t="str">
        <f>IFERROR(INDEX(Input!$G$2:$G$501,MATCH(484,Input!$J$2:$J$501,0)),"")</f>
        <v>MANGLER</v>
      </c>
      <c r="H485" t="str">
        <f>IFERROR(INDEX(Input!$H$2:$H$501,MATCH(484,Input!$J$2:$J$501,0)),"")</f>
        <v>Nei</v>
      </c>
    </row>
    <row r="486" spans="1:8" x14ac:dyDescent="0.35">
      <c r="A486" t="str">
        <f>IFERROR(INDEX(Input!$A$2:$A$501,MATCH(485,Input!$J$2:$J$501,0)),"")</f>
        <v>Materialformer</v>
      </c>
      <c r="B486" t="str">
        <f>IFERROR(INDEX(Input!$B$2:$B$501,MATCH(485,Input!$J$2:$J$501,0)),"")</f>
        <v>Spring</v>
      </c>
      <c r="C486" t="str">
        <f>IFERROR(INDEX(Input!$C$2:$C$501,MATCH(485,Input!$J$2:$J$501,0)),"")</f>
        <v>Normal</v>
      </c>
      <c r="D486">
        <f>IFERROR(INDEX(Input!$D$2:$D$501,MATCH(485,Input!$J$2:$J$501,0)),"")</f>
        <v>3</v>
      </c>
      <c r="E486" s="3" t="str">
        <f>IFERROR(INDEX(Input!$E$2:$E$501,MATCH(485,Input!$J$2:$J$501,0)),"")</f>
        <v>Skal Ikke ha</v>
      </c>
      <c r="F486" t="str">
        <f>IFERROR(INDEX(Input!$F$2:$F$501,MATCH(485,Input!$J$2:$J$501,0)),"")</f>
        <v>Ja</v>
      </c>
      <c r="G486" s="3" t="str">
        <f>IFERROR(INDEX(Input!$G$2:$G$501,MATCH(485,Input!$J$2:$J$501,0)),"")</f>
        <v>MANGLER</v>
      </c>
      <c r="H486" t="str">
        <f>IFERROR(INDEX(Input!$H$2:$H$501,MATCH(485,Input!$J$2:$J$501,0)),"")</f>
        <v>Nei</v>
      </c>
    </row>
    <row r="487" spans="1:8" x14ac:dyDescent="0.35">
      <c r="A487" t="str">
        <f>IFERROR(INDEX(Input!$A$2:$A$501,MATCH(486,Input!$J$2:$J$501,0)),"")</f>
        <v>Materialformer</v>
      </c>
      <c r="B487" t="str">
        <f>IFERROR(INDEX(Input!$B$2:$B$501,MATCH(486,Input!$J$2:$J$501,0)),"")</f>
        <v>Spring</v>
      </c>
      <c r="C487" t="str">
        <f>IFERROR(INDEX(Input!$C$2:$C$501,MATCH(486,Input!$J$2:$J$501,0)),"")</f>
        <v>Large</v>
      </c>
      <c r="D487">
        <f>IFERROR(INDEX(Input!$D$2:$D$501,MATCH(486,Input!$J$2:$J$501,0)),"")</f>
        <v>3</v>
      </c>
      <c r="E487" s="3" t="str">
        <f>IFERROR(INDEX(Input!$E$2:$E$501,MATCH(486,Input!$J$2:$J$501,0)),"")</f>
        <v>Skal Ikke ha</v>
      </c>
      <c r="F487" t="str">
        <f>IFERROR(INDEX(Input!$F$2:$F$501,MATCH(486,Input!$J$2:$J$501,0)),"")</f>
        <v>Ja</v>
      </c>
      <c r="G487" s="3" t="str">
        <f>IFERROR(INDEX(Input!$G$2:$G$501,MATCH(486,Input!$J$2:$J$501,0)),"")</f>
        <v>MANGLER</v>
      </c>
      <c r="H487" t="str">
        <f>IFERROR(INDEX(Input!$H$2:$H$501,MATCH(486,Input!$J$2:$J$501,0)),"")</f>
        <v>Nei</v>
      </c>
    </row>
    <row r="488" spans="1:8" x14ac:dyDescent="0.35">
      <c r="A488" t="str">
        <f>IFERROR(INDEX(Input!$A$2:$A$501,MATCH(487,Input!$J$2:$J$501,0)),"")</f>
        <v>Materialformer</v>
      </c>
      <c r="B488" t="str">
        <f>IFERROR(INDEX(Input!$B$2:$B$501,MATCH(487,Input!$J$2:$J$501,0)),"")</f>
        <v>Spring</v>
      </c>
      <c r="C488" t="str">
        <f>IFERROR(INDEX(Input!$C$2:$C$501,MATCH(487,Input!$J$2:$J$501,0)),"")</f>
        <v>Huge</v>
      </c>
      <c r="D488">
        <f>IFERROR(INDEX(Input!$D$2:$D$501,MATCH(487,Input!$J$2:$J$501,0)),"")</f>
        <v>0</v>
      </c>
      <c r="E488" s="3" t="str">
        <f>IFERROR(INDEX(Input!$E$2:$E$501,MATCH(487,Input!$J$2:$J$501,0)),"")</f>
        <v>Skal Ikke ha</v>
      </c>
      <c r="F488" t="str">
        <f>IFERROR(INDEX(Input!$F$2:$F$501,MATCH(487,Input!$J$2:$J$501,0)),"")</f>
        <v>Nei</v>
      </c>
      <c r="G488" s="3" t="str">
        <f>IFERROR(INDEX(Input!$G$2:$G$501,MATCH(487,Input!$J$2:$J$501,0)),"")</f>
        <v>MANGLER</v>
      </c>
      <c r="H488" t="str">
        <f>IFERROR(INDEX(Input!$H$2:$H$501,MATCH(487,Input!$J$2:$J$501,0)),"")</f>
        <v>Nei</v>
      </c>
    </row>
    <row r="489" spans="1:8" x14ac:dyDescent="0.35">
      <c r="A489" t="str">
        <f>IFERROR(INDEX(Input!$A$2:$A$501,MATCH(488,Input!$J$2:$J$501,0)),"")</f>
        <v>Tool components</v>
      </c>
      <c r="B489" t="str">
        <f>IFERROR(INDEX(Input!$B$2:$B$501,MATCH(488,Input!$J$2:$J$501,0)),"")</f>
        <v>Tool Binding</v>
      </c>
      <c r="C489" t="str">
        <f>IFERROR(INDEX(Input!$C$2:$C$501,MATCH(488,Input!$J$2:$J$501,0)),"")</f>
        <v>Standard</v>
      </c>
      <c r="D489">
        <f>IFERROR(INDEX(Input!$D$2:$D$501,MATCH(488,Input!$J$2:$J$501,0)),"")</f>
        <v>0</v>
      </c>
      <c r="E489" s="3" t="str">
        <f>IFERROR(INDEX(Input!$E$2:$E$501,MATCH(488,Input!$J$2:$J$501,0)),"")</f>
        <v>Nei</v>
      </c>
      <c r="F489" t="str">
        <f>IFERROR(INDEX(Input!$F$2:$F$501,MATCH(488,Input!$J$2:$J$501,0)),"")</f>
        <v>Nei</v>
      </c>
      <c r="G489" s="3" t="str">
        <f>IFERROR(INDEX(Input!$G$2:$G$501,MATCH(488,Input!$J$2:$J$501,0)),"")</f>
        <v>MANGLER</v>
      </c>
      <c r="H489" t="str">
        <f>IFERROR(INDEX(Input!$H$2:$H$501,MATCH(488,Input!$J$2:$J$501,0)),"")</f>
        <v>Nei</v>
      </c>
    </row>
    <row r="490" spans="1:8" x14ac:dyDescent="0.35">
      <c r="A490" t="str">
        <f>IFERROR(INDEX(Input!$A$2:$A$501,MATCH(489,Input!$J$2:$J$501,0)),"")</f>
        <v>Tool components</v>
      </c>
      <c r="B490" t="str">
        <f>IFERROR(INDEX(Input!$B$2:$B$501,MATCH(489,Input!$J$2:$J$501,0)),"")</f>
        <v>Tool Grip</v>
      </c>
      <c r="C490" t="str">
        <f>IFERROR(INDEX(Input!$C$2:$C$501,MATCH(489,Input!$J$2:$J$501,0)),"")</f>
        <v>Standard</v>
      </c>
      <c r="D490">
        <f>IFERROR(INDEX(Input!$D$2:$D$501,MATCH(489,Input!$J$2:$J$501,0)),"")</f>
        <v>0</v>
      </c>
      <c r="E490" s="3" t="str">
        <f>IFERROR(INDEX(Input!$E$2:$E$501,MATCH(489,Input!$J$2:$J$501,0)),"")</f>
        <v>Nei</v>
      </c>
      <c r="F490" t="str">
        <f>IFERROR(INDEX(Input!$F$2:$F$501,MATCH(489,Input!$J$2:$J$501,0)),"")</f>
        <v>Nei</v>
      </c>
      <c r="G490" s="3" t="str">
        <f>IFERROR(INDEX(Input!$G$2:$G$501,MATCH(489,Input!$J$2:$J$501,0)),"")</f>
        <v>MANGLER</v>
      </c>
      <c r="H490" t="str">
        <f>IFERROR(INDEX(Input!$H$2:$H$501,MATCH(489,Input!$J$2:$J$501,0)),"")</f>
        <v>Nei</v>
      </c>
    </row>
    <row r="491" spans="1:8" x14ac:dyDescent="0.35">
      <c r="A491" t="str">
        <f>IFERROR(INDEX(Input!$A$2:$A$501,MATCH(490,Input!$J$2:$J$501,0)),"")</f>
        <v>Tool components</v>
      </c>
      <c r="B491" t="str">
        <f>IFERROR(INDEX(Input!$B$2:$B$501,MATCH(490,Input!$J$2:$J$501,0)),"")</f>
        <v>Tool Handle</v>
      </c>
      <c r="C491" t="str">
        <f>IFERROR(INDEX(Input!$C$2:$C$501,MATCH(490,Input!$J$2:$J$501,0)),"")</f>
        <v>Standard</v>
      </c>
      <c r="D491">
        <f>IFERROR(INDEX(Input!$D$2:$D$501,MATCH(490,Input!$J$2:$J$501,0)),"")</f>
        <v>0</v>
      </c>
      <c r="E491" s="3" t="str">
        <f>IFERROR(INDEX(Input!$E$2:$E$501,MATCH(490,Input!$J$2:$J$501,0)),"")</f>
        <v>Nei</v>
      </c>
      <c r="F491" t="str">
        <f>IFERROR(INDEX(Input!$F$2:$F$501,MATCH(490,Input!$J$2:$J$501,0)),"")</f>
        <v>Nei</v>
      </c>
      <c r="G491" s="3" t="str">
        <f>IFERROR(INDEX(Input!$G$2:$G$501,MATCH(490,Input!$J$2:$J$501,0)),"")</f>
        <v>MANGLER</v>
      </c>
      <c r="H491" t="str">
        <f>IFERROR(INDEX(Input!$H$2:$H$501,MATCH(490,Input!$J$2:$J$501,0)),"")</f>
        <v>Nei</v>
      </c>
    </row>
    <row r="492" spans="1:8" x14ac:dyDescent="0.35">
      <c r="A492" t="str">
        <f>IFERROR(INDEX(Input!$A$2:$A$501,MATCH(491,Input!$J$2:$J$501,0)),"")</f>
        <v>Tool components</v>
      </c>
      <c r="B492" t="str">
        <f>IFERROR(INDEX(Input!$B$2:$B$501,MATCH(491,Input!$J$2:$J$501,0)),"")</f>
        <v>Tool Rod</v>
      </c>
      <c r="C492" t="str">
        <f>IFERROR(INDEX(Input!$C$2:$C$501,MATCH(491,Input!$J$2:$J$501,0)),"")</f>
        <v>Standard</v>
      </c>
      <c r="D492">
        <f>IFERROR(INDEX(Input!$D$2:$D$501,MATCH(491,Input!$J$2:$J$501,0)),"")</f>
        <v>0</v>
      </c>
      <c r="E492" s="3" t="str">
        <f>IFERROR(INDEX(Input!$E$2:$E$501,MATCH(491,Input!$J$2:$J$501,0)),"")</f>
        <v>Nei</v>
      </c>
      <c r="F492" t="str">
        <f>IFERROR(INDEX(Input!$F$2:$F$501,MATCH(491,Input!$J$2:$J$501,0)),"")</f>
        <v>Nei</v>
      </c>
      <c r="G492" s="3" t="str">
        <f>IFERROR(INDEX(Input!$G$2:$G$501,MATCH(491,Input!$J$2:$J$501,0)),"")</f>
        <v>MANGLER</v>
      </c>
      <c r="H492" t="str">
        <f>IFERROR(INDEX(Input!$H$2:$H$501,MATCH(491,Input!$J$2:$J$501,0)),"")</f>
        <v>Nei</v>
      </c>
    </row>
    <row r="493" spans="1:8" x14ac:dyDescent="0.35">
      <c r="A493" t="str">
        <f>IFERROR(INDEX(Input!$A$2:$A$501,MATCH(492,Input!$J$2:$J$501,0)),"")</f>
        <v>Materialformer</v>
      </c>
      <c r="B493" t="str">
        <f>IFERROR(INDEX(Input!$B$2:$B$501,MATCH(492,Input!$J$2:$J$501,0)),"")</f>
        <v>Turbine Blade</v>
      </c>
      <c r="C493" t="str">
        <f>IFERROR(INDEX(Input!$C$2:$C$501,MATCH(492,Input!$J$2:$J$501,0)),"")</f>
        <v>Standerd</v>
      </c>
      <c r="D493">
        <f>IFERROR(INDEX(Input!$D$2:$D$501,MATCH(492,Input!$J$2:$J$501,0)),"")</f>
        <v>3</v>
      </c>
      <c r="E493" s="3" t="str">
        <f>IFERROR(INDEX(Input!$E$2:$E$501,MATCH(492,Input!$J$2:$J$501,0)),"")</f>
        <v>Skal Ikke ha</v>
      </c>
      <c r="F493" t="str">
        <f>IFERROR(INDEX(Input!$F$2:$F$501,MATCH(492,Input!$J$2:$J$501,0)),"")</f>
        <v>Ja</v>
      </c>
      <c r="G493" s="3" t="str">
        <f>IFERROR(INDEX(Input!$G$2:$G$501,MATCH(492,Input!$J$2:$J$501,0)),"")</f>
        <v>MANGLER</v>
      </c>
      <c r="H493" t="str">
        <f>IFERROR(INDEX(Input!$H$2:$H$501,MATCH(492,Input!$J$2:$J$501,0)),"")</f>
        <v>Nei</v>
      </c>
    </row>
    <row r="494" spans="1:8" x14ac:dyDescent="0.35">
      <c r="A494" t="str">
        <f>IFERROR(INDEX(Input!$A$2:$A$501,MATCH(493,Input!$J$2:$J$501,0)),"")</f>
        <v>Ore processing</v>
      </c>
      <c r="B494" t="str">
        <f>IFERROR(INDEX(Input!$B$2:$B$501,MATCH(493,Input!$J$2:$J$501,0)),"")</f>
        <v>Washed Crushed Ore</v>
      </c>
      <c r="C494" t="str">
        <f>IFERROR(INDEX(Input!$C$2:$C$501,MATCH(493,Input!$J$2:$J$501,0)),"")</f>
        <v>Standard</v>
      </c>
      <c r="D494">
        <f>IFERROR(INDEX(Input!$D$2:$D$501,MATCH(493,Input!$J$2:$J$501,0)),"")</f>
        <v>2</v>
      </c>
      <c r="E494" s="3" t="str">
        <f>IFERROR(INDEX(Input!$E$2:$E$501,MATCH(493,Input!$J$2:$J$501,0)),"")</f>
        <v>Skal Ikke ha</v>
      </c>
      <c r="F494" t="str">
        <f>IFERROR(INDEX(Input!$F$2:$F$501,MATCH(493,Input!$J$2:$J$501,0)),"")</f>
        <v>Ja</v>
      </c>
      <c r="G494" s="3" t="str">
        <f>IFERROR(INDEX(Input!$G$2:$G$501,MATCH(493,Input!$J$2:$J$501,0)),"")</f>
        <v>MANGLER</v>
      </c>
      <c r="H494" t="str">
        <f>IFERROR(INDEX(Input!$H$2:$H$501,MATCH(493,Input!$J$2:$J$501,0)),"")</f>
        <v>Nei</v>
      </c>
    </row>
    <row r="495" spans="1:8" x14ac:dyDescent="0.35">
      <c r="A495" t="str">
        <f>IFERROR(INDEX(Input!$A$2:$A$501,MATCH(494,Input!$J$2:$J$501,0)),"")</f>
        <v>Tool components</v>
      </c>
      <c r="B495" t="str">
        <f>IFERROR(INDEX(Input!$B$2:$B$501,MATCH(494,Input!$J$2:$J$501,0)),"")</f>
        <v>Wire Cutter Head</v>
      </c>
      <c r="C495" t="str">
        <f>IFERROR(INDEX(Input!$C$2:$C$501,MATCH(494,Input!$J$2:$J$501,0)),"")</f>
        <v>Standard</v>
      </c>
      <c r="D495">
        <f>IFERROR(INDEX(Input!$D$2:$D$501,MATCH(494,Input!$J$2:$J$501,0)),"")</f>
        <v>0</v>
      </c>
      <c r="E495" s="3" t="str">
        <f>IFERROR(INDEX(Input!$E$2:$E$501,MATCH(494,Input!$J$2:$J$501,0)),"")</f>
        <v>Nei</v>
      </c>
      <c r="F495" t="str">
        <f>IFERROR(INDEX(Input!$F$2:$F$501,MATCH(494,Input!$J$2:$J$501,0)),"")</f>
        <v>Nei</v>
      </c>
      <c r="G495" s="3" t="str">
        <f>IFERROR(INDEX(Input!$G$2:$G$501,MATCH(494,Input!$J$2:$J$501,0)),"")</f>
        <v>MANGLER</v>
      </c>
      <c r="H495" t="str">
        <f>IFERROR(INDEX(Input!$H$2:$H$501,MATCH(494,Input!$J$2:$J$501,0)),"")</f>
        <v>Nei</v>
      </c>
    </row>
    <row r="496" spans="1:8" x14ac:dyDescent="0.35">
      <c r="A496" t="str">
        <f>IFERROR(INDEX(Input!$A$2:$A$501,MATCH(495,Input!$J$2:$J$501,0)),"")</f>
        <v>Materialformer</v>
      </c>
      <c r="B496" t="str">
        <f>IFERROR(INDEX(Input!$B$2:$B$501,MATCH(495,Input!$J$2:$J$501,0)),"")</f>
        <v>Wire</v>
      </c>
      <c r="C496" t="str">
        <f>IFERROR(INDEX(Input!$C$2:$C$501,MATCH(495,Input!$J$2:$J$501,0)),"")</f>
        <v>1x</v>
      </c>
      <c r="D496">
        <f>IFERROR(INDEX(Input!$D$2:$D$501,MATCH(495,Input!$J$2:$J$501,0)),"")</f>
        <v>0</v>
      </c>
      <c r="E496" s="3" t="str">
        <f>IFERROR(INDEX(Input!$E$2:$E$501,MATCH(495,Input!$J$2:$J$501,0)),"")</f>
        <v>Skal Ikke ha</v>
      </c>
      <c r="F496" t="str">
        <f>IFERROR(INDEX(Input!$F$2:$F$501,MATCH(495,Input!$J$2:$J$501,0)),"")</f>
        <v>Nei</v>
      </c>
      <c r="G496" s="3" t="str">
        <f>IFERROR(INDEX(Input!$G$2:$G$501,MATCH(495,Input!$J$2:$J$501,0)),"")</f>
        <v>MANGLER</v>
      </c>
      <c r="H496" t="str">
        <f>IFERROR(INDEX(Input!$H$2:$H$501,MATCH(495,Input!$J$2:$J$501,0)),"")</f>
        <v>Nei</v>
      </c>
    </row>
    <row r="497" spans="1:8" x14ac:dyDescent="0.35">
      <c r="A497" t="str">
        <f>IFERROR(INDEX(Input!$A$2:$A$501,MATCH(496,Input!$J$2:$J$501,0)),"")</f>
        <v>Materialformer</v>
      </c>
      <c r="B497" t="str">
        <f>IFERROR(INDEX(Input!$B$2:$B$501,MATCH(496,Input!$J$2:$J$501,0)),"")</f>
        <v>Wire</v>
      </c>
      <c r="C497" t="str">
        <f>IFERROR(INDEX(Input!$C$2:$C$501,MATCH(496,Input!$J$2:$J$501,0)),"")</f>
        <v>2x</v>
      </c>
      <c r="D497">
        <f>IFERROR(INDEX(Input!$D$2:$D$501,MATCH(496,Input!$J$2:$J$501,0)),"")</f>
        <v>0</v>
      </c>
      <c r="E497" s="3" t="str">
        <f>IFERROR(INDEX(Input!$E$2:$E$501,MATCH(496,Input!$J$2:$J$501,0)),"")</f>
        <v>Skal Ikke ha</v>
      </c>
      <c r="F497" t="str">
        <f>IFERROR(INDEX(Input!$F$2:$F$501,MATCH(496,Input!$J$2:$J$501,0)),"")</f>
        <v>Nei</v>
      </c>
      <c r="G497" s="3" t="str">
        <f>IFERROR(INDEX(Input!$G$2:$G$501,MATCH(496,Input!$J$2:$J$501,0)),"")</f>
        <v>MANGLER</v>
      </c>
      <c r="H497" t="str">
        <f>IFERROR(INDEX(Input!$H$2:$H$501,MATCH(496,Input!$J$2:$J$501,0)),"")</f>
        <v>Nei</v>
      </c>
    </row>
    <row r="498" spans="1:8" x14ac:dyDescent="0.35">
      <c r="A498" t="str">
        <f>IFERROR(INDEX(Input!$A$2:$A$501,MATCH(497,Input!$J$2:$J$501,0)),"")</f>
        <v>Materialformer</v>
      </c>
      <c r="B498" t="str">
        <f>IFERROR(INDEX(Input!$B$2:$B$501,MATCH(497,Input!$J$2:$J$501,0)),"")</f>
        <v>Wire</v>
      </c>
      <c r="C498" t="str">
        <f>IFERROR(INDEX(Input!$C$2:$C$501,MATCH(497,Input!$J$2:$J$501,0)),"")</f>
        <v>4x</v>
      </c>
      <c r="D498">
        <f>IFERROR(INDEX(Input!$D$2:$D$501,MATCH(497,Input!$J$2:$J$501,0)),"")</f>
        <v>0</v>
      </c>
      <c r="E498" s="3" t="str">
        <f>IFERROR(INDEX(Input!$E$2:$E$501,MATCH(497,Input!$J$2:$J$501,0)),"")</f>
        <v>Skal Ikke ha</v>
      </c>
      <c r="F498" t="str">
        <f>IFERROR(INDEX(Input!$F$2:$F$501,MATCH(497,Input!$J$2:$J$501,0)),"")</f>
        <v>Nei</v>
      </c>
      <c r="G498" s="3" t="str">
        <f>IFERROR(INDEX(Input!$G$2:$G$501,MATCH(497,Input!$J$2:$J$501,0)),"")</f>
        <v>MANGLER</v>
      </c>
      <c r="H498" t="str">
        <f>IFERROR(INDEX(Input!$H$2:$H$501,MATCH(497,Input!$J$2:$J$501,0)),"")</f>
        <v>Nei</v>
      </c>
    </row>
    <row r="499" spans="1:8" x14ac:dyDescent="0.35">
      <c r="A499" t="str">
        <f>IFERROR(INDEX(Input!$A$2:$A$501,MATCH(498,Input!$J$2:$J$501,0)),"")</f>
        <v>Materialformer</v>
      </c>
      <c r="B499" t="str">
        <f>IFERROR(INDEX(Input!$B$2:$B$501,MATCH(498,Input!$J$2:$J$501,0)),"")</f>
        <v>Wire</v>
      </c>
      <c r="C499" t="str">
        <f>IFERROR(INDEX(Input!$C$2:$C$501,MATCH(498,Input!$J$2:$J$501,0)),"")</f>
        <v>8x</v>
      </c>
      <c r="D499">
        <f>IFERROR(INDEX(Input!$D$2:$D$501,MATCH(498,Input!$J$2:$J$501,0)),"")</f>
        <v>0</v>
      </c>
      <c r="E499" s="3" t="str">
        <f>IFERROR(INDEX(Input!$E$2:$E$501,MATCH(498,Input!$J$2:$J$501,0)),"")</f>
        <v>Skal Ikke ha</v>
      </c>
      <c r="F499" t="str">
        <f>IFERROR(INDEX(Input!$F$2:$F$501,MATCH(498,Input!$J$2:$J$501,0)),"")</f>
        <v>Nei</v>
      </c>
      <c r="G499" s="3" t="str">
        <f>IFERROR(INDEX(Input!$G$2:$G$501,MATCH(498,Input!$J$2:$J$501,0)),"")</f>
        <v>MANGLER</v>
      </c>
      <c r="H499" t="str">
        <f>IFERROR(INDEX(Input!$H$2:$H$501,MATCH(498,Input!$J$2:$J$501,0)),"")</f>
        <v>Nei</v>
      </c>
    </row>
    <row r="500" spans="1:8" x14ac:dyDescent="0.35">
      <c r="A500" t="str">
        <f>IFERROR(INDEX(Input!$A$2:$A$501,MATCH(499,Input!$J$2:$J$501,0)),"")</f>
        <v>Materialformer</v>
      </c>
      <c r="B500" t="str">
        <f>IFERROR(INDEX(Input!$B$2:$B$501,MATCH(499,Input!$J$2:$J$501,0)),"")</f>
        <v>Wire</v>
      </c>
      <c r="C500" t="str">
        <f>IFERROR(INDEX(Input!$C$2:$C$501,MATCH(499,Input!$J$2:$J$501,0)),"")</f>
        <v>16x</v>
      </c>
      <c r="D500">
        <f>IFERROR(INDEX(Input!$D$2:$D$501,MATCH(499,Input!$J$2:$J$501,0)),"")</f>
        <v>0</v>
      </c>
      <c r="E500" s="3" t="str">
        <f>IFERROR(INDEX(Input!$E$2:$E$501,MATCH(499,Input!$J$2:$J$501,0)),"")</f>
        <v>Skal Ikke ha</v>
      </c>
      <c r="F500" t="str">
        <f>IFERROR(INDEX(Input!$F$2:$F$501,MATCH(499,Input!$J$2:$J$501,0)),"")</f>
        <v>Nei</v>
      </c>
      <c r="G500" s="3" t="str">
        <f>IFERROR(INDEX(Input!$G$2:$G$501,MATCH(499,Input!$J$2:$J$501,0)),"")</f>
        <v>MANGLER</v>
      </c>
      <c r="H500" t="str">
        <f>IFERROR(INDEX(Input!$H$2:$H$501,MATCH(499,Input!$J$2:$J$501,0)),"")</f>
        <v>Nei</v>
      </c>
    </row>
    <row r="501" spans="1:8" x14ac:dyDescent="0.35">
      <c r="A501" t="str">
        <f>IFERROR(INDEX(Input!$A$2:$A$501,MATCH(500,Input!$J$2:$J$501,0)),"")</f>
        <v>Tool components</v>
      </c>
      <c r="B501" t="str">
        <f>IFERROR(INDEX(Input!$B$2:$B$501,MATCH(500,Input!$J$2:$J$501,0)),"")</f>
        <v>Wrench Head</v>
      </c>
      <c r="C501" t="str">
        <f>IFERROR(INDEX(Input!$C$2:$C$501,MATCH(500,Input!$J$2:$J$501,0)),"")</f>
        <v>Standard</v>
      </c>
      <c r="D501">
        <f>IFERROR(INDEX(Input!$D$2:$D$501,MATCH(500,Input!$J$2:$J$501,0)),"")</f>
        <v>2</v>
      </c>
      <c r="E501" s="3" t="str">
        <f>IFERROR(INDEX(Input!$E$2:$E$501,MATCH(500,Input!$J$2:$J$501,0)),"")</f>
        <v>Nei</v>
      </c>
      <c r="F501" t="str">
        <f>IFERROR(INDEX(Input!$F$2:$F$501,MATCH(500,Input!$J$2:$J$501,0)),"")</f>
        <v>Ja</v>
      </c>
      <c r="G501" s="3" t="str">
        <f>IFERROR(INDEX(Input!$G$2:$G$501,MATCH(500,Input!$J$2:$J$501,0)),"")</f>
        <v>MANGLER</v>
      </c>
      <c r="H501" t="str">
        <f>IFERROR(INDEX(Input!$H$2:$H$501,MATCH(500,Input!$J$2:$J$501,0)),"")</f>
        <v>Nei</v>
      </c>
    </row>
    <row r="502" spans="1:8" x14ac:dyDescent="0.35">
      <c r="E502" s="3"/>
      <c r="G502" s="3"/>
    </row>
    <row r="503" spans="1:8" x14ac:dyDescent="0.35">
      <c r="E503" s="3"/>
      <c r="G503" s="3"/>
    </row>
    <row r="504" spans="1:8" x14ac:dyDescent="0.35">
      <c r="E504" s="3"/>
      <c r="G504" s="3"/>
    </row>
    <row r="505" spans="1:8" x14ac:dyDescent="0.35">
      <c r="E505" s="3"/>
      <c r="G505" s="3"/>
    </row>
    <row r="506" spans="1:8" x14ac:dyDescent="0.35">
      <c r="E506" s="3"/>
      <c r="G506" s="3"/>
    </row>
    <row r="507" spans="1:8" x14ac:dyDescent="0.35">
      <c r="E507" s="3"/>
      <c r="G507" s="3"/>
    </row>
    <row r="508" spans="1:8" x14ac:dyDescent="0.35">
      <c r="E508" s="3"/>
      <c r="G508" s="3"/>
    </row>
    <row r="509" spans="1:8" x14ac:dyDescent="0.35">
      <c r="E509" s="3"/>
      <c r="G509" s="3"/>
    </row>
    <row r="510" spans="1:8" x14ac:dyDescent="0.35">
      <c r="E510" s="3"/>
      <c r="G510" s="3"/>
    </row>
    <row r="511" spans="1:8" x14ac:dyDescent="0.35">
      <c r="E511" s="3"/>
      <c r="G511" s="3"/>
    </row>
    <row r="512" spans="1:8" x14ac:dyDescent="0.35">
      <c r="E512" s="3"/>
      <c r="G512" s="3"/>
    </row>
    <row r="513" spans="5:7" x14ac:dyDescent="0.35">
      <c r="E513" s="3"/>
      <c r="G513" s="3"/>
    </row>
    <row r="514" spans="5:7" x14ac:dyDescent="0.35">
      <c r="E514" s="3"/>
      <c r="G514" s="3"/>
    </row>
    <row r="515" spans="5:7" x14ac:dyDescent="0.35">
      <c r="E515" s="3"/>
      <c r="G515" s="3"/>
    </row>
    <row r="516" spans="5:7" x14ac:dyDescent="0.35">
      <c r="E516" s="3"/>
      <c r="G516" s="3"/>
    </row>
    <row r="517" spans="5:7" x14ac:dyDescent="0.35">
      <c r="E517" s="3"/>
      <c r="G517" s="3"/>
    </row>
    <row r="518" spans="5:7" x14ac:dyDescent="0.35">
      <c r="E518" s="3"/>
      <c r="G518" s="3"/>
    </row>
    <row r="519" spans="5:7" x14ac:dyDescent="0.35">
      <c r="E519" s="3"/>
      <c r="G519" s="3"/>
    </row>
    <row r="520" spans="5:7" x14ac:dyDescent="0.35">
      <c r="E520" s="3"/>
      <c r="G520" s="3"/>
    </row>
    <row r="521" spans="5:7" x14ac:dyDescent="0.35">
      <c r="E521" s="3"/>
      <c r="G521" s="3"/>
    </row>
    <row r="522" spans="5:7" x14ac:dyDescent="0.35">
      <c r="E522" s="3"/>
      <c r="G522" s="3"/>
    </row>
    <row r="523" spans="5:7" x14ac:dyDescent="0.35">
      <c r="E523" s="3"/>
      <c r="G523" s="3"/>
    </row>
    <row r="524" spans="5:7" x14ac:dyDescent="0.35">
      <c r="E524" s="3"/>
      <c r="G524" s="3"/>
    </row>
    <row r="525" spans="5:7" x14ac:dyDescent="0.35">
      <c r="E525" s="3"/>
      <c r="G525" s="3"/>
    </row>
    <row r="526" spans="5:7" x14ac:dyDescent="0.35">
      <c r="E526" s="3"/>
      <c r="G526" s="3"/>
    </row>
    <row r="527" spans="5:7" x14ac:dyDescent="0.35">
      <c r="E527" s="3"/>
      <c r="G527" s="3"/>
    </row>
    <row r="528" spans="5:7" x14ac:dyDescent="0.35">
      <c r="E528" s="3"/>
      <c r="G528" s="3"/>
    </row>
    <row r="529" spans="5:7" x14ac:dyDescent="0.35">
      <c r="E529" s="3"/>
      <c r="G529" s="3"/>
    </row>
    <row r="530" spans="5:7" x14ac:dyDescent="0.35">
      <c r="E530" s="3"/>
      <c r="G530" s="3"/>
    </row>
    <row r="531" spans="5:7" x14ac:dyDescent="0.35">
      <c r="E531" s="3"/>
      <c r="G531" s="3"/>
    </row>
    <row r="532" spans="5:7" x14ac:dyDescent="0.35">
      <c r="E532" s="3"/>
      <c r="G532" s="3"/>
    </row>
    <row r="533" spans="5:7" x14ac:dyDescent="0.35">
      <c r="E533" s="3"/>
      <c r="G533" s="3"/>
    </row>
    <row r="534" spans="5:7" x14ac:dyDescent="0.35">
      <c r="E534" s="3"/>
      <c r="G534" s="3"/>
    </row>
    <row r="535" spans="5:7" x14ac:dyDescent="0.35">
      <c r="E535" s="3"/>
      <c r="G535" s="3"/>
    </row>
    <row r="536" spans="5:7" x14ac:dyDescent="0.35">
      <c r="E536" s="3"/>
      <c r="G536" s="3"/>
    </row>
    <row r="537" spans="5:7" x14ac:dyDescent="0.35">
      <c r="E537" s="3"/>
      <c r="G537" s="3"/>
    </row>
    <row r="538" spans="5:7" x14ac:dyDescent="0.35">
      <c r="E538" s="3"/>
      <c r="G538" s="3"/>
    </row>
    <row r="539" spans="5:7" x14ac:dyDescent="0.35">
      <c r="E539" s="3"/>
      <c r="G539" s="3"/>
    </row>
    <row r="540" spans="5:7" x14ac:dyDescent="0.35">
      <c r="E540" s="3"/>
      <c r="G540" s="3"/>
    </row>
    <row r="541" spans="5:7" x14ac:dyDescent="0.35">
      <c r="E541" s="3"/>
      <c r="G541" s="3"/>
    </row>
    <row r="542" spans="5:7" x14ac:dyDescent="0.35">
      <c r="E542" s="3"/>
      <c r="G542" s="3"/>
    </row>
    <row r="543" spans="5:7" x14ac:dyDescent="0.35">
      <c r="E543" s="3"/>
      <c r="G543" s="3"/>
    </row>
    <row r="544" spans="5:7" x14ac:dyDescent="0.35">
      <c r="E544" s="3"/>
      <c r="G544" s="3"/>
    </row>
    <row r="545" spans="5:7" x14ac:dyDescent="0.35">
      <c r="E545" s="3"/>
      <c r="G545" s="3"/>
    </row>
    <row r="546" spans="5:7" x14ac:dyDescent="0.35">
      <c r="E546" s="3"/>
      <c r="G546" s="3"/>
    </row>
    <row r="547" spans="5:7" x14ac:dyDescent="0.35">
      <c r="E547" s="3"/>
      <c r="G547" s="3"/>
    </row>
    <row r="548" spans="5:7" x14ac:dyDescent="0.35">
      <c r="E548" s="3"/>
      <c r="G548" s="3"/>
    </row>
    <row r="549" spans="5:7" x14ac:dyDescent="0.35">
      <c r="E549" s="3"/>
      <c r="G549" s="3"/>
    </row>
    <row r="550" spans="5:7" x14ac:dyDescent="0.35">
      <c r="E550" s="3"/>
      <c r="G550" s="3"/>
    </row>
    <row r="551" spans="5:7" x14ac:dyDescent="0.35">
      <c r="E551" s="3"/>
      <c r="G551" s="3"/>
    </row>
    <row r="552" spans="5:7" x14ac:dyDescent="0.35">
      <c r="E552" s="3"/>
      <c r="G552" s="3"/>
    </row>
    <row r="553" spans="5:7" x14ac:dyDescent="0.35">
      <c r="E553" s="3"/>
      <c r="G553" s="3"/>
    </row>
    <row r="554" spans="5:7" x14ac:dyDescent="0.35">
      <c r="E554" s="3"/>
      <c r="G554" s="3"/>
    </row>
    <row r="555" spans="5:7" x14ac:dyDescent="0.35">
      <c r="E555" s="3"/>
      <c r="G555" s="3"/>
    </row>
    <row r="556" spans="5:7" x14ac:dyDescent="0.35">
      <c r="E556" s="3"/>
      <c r="G556" s="3"/>
    </row>
    <row r="557" spans="5:7" x14ac:dyDescent="0.35">
      <c r="E557" s="3"/>
      <c r="G557" s="3"/>
    </row>
    <row r="558" spans="5:7" x14ac:dyDescent="0.35">
      <c r="E558" s="3"/>
      <c r="G558" s="3"/>
    </row>
    <row r="559" spans="5:7" x14ac:dyDescent="0.35">
      <c r="E559" s="3"/>
      <c r="G559" s="3"/>
    </row>
    <row r="560" spans="5:7" x14ac:dyDescent="0.35">
      <c r="E560" s="3"/>
      <c r="G560" s="3"/>
    </row>
    <row r="561" spans="5:7" x14ac:dyDescent="0.35">
      <c r="E561" s="3"/>
      <c r="G561" s="3"/>
    </row>
    <row r="562" spans="5:7" x14ac:dyDescent="0.35">
      <c r="E562" s="3"/>
      <c r="G562" s="3"/>
    </row>
    <row r="563" spans="5:7" x14ac:dyDescent="0.35">
      <c r="E563" s="3"/>
      <c r="G563" s="3"/>
    </row>
    <row r="564" spans="5:7" x14ac:dyDescent="0.35">
      <c r="E564" s="3"/>
      <c r="G564" s="3"/>
    </row>
    <row r="565" spans="5:7" x14ac:dyDescent="0.35">
      <c r="E565" s="3"/>
      <c r="G565" s="3"/>
    </row>
    <row r="566" spans="5:7" x14ac:dyDescent="0.35">
      <c r="E566" s="3"/>
      <c r="G566" s="3"/>
    </row>
    <row r="567" spans="5:7" x14ac:dyDescent="0.35">
      <c r="E567" s="3"/>
      <c r="G567" s="3"/>
    </row>
    <row r="568" spans="5:7" x14ac:dyDescent="0.35">
      <c r="E568" s="3"/>
      <c r="G568" s="3"/>
    </row>
    <row r="569" spans="5:7" x14ac:dyDescent="0.35">
      <c r="E569" s="3"/>
      <c r="G569" s="3"/>
    </row>
    <row r="570" spans="5:7" x14ac:dyDescent="0.35">
      <c r="E570" s="3"/>
      <c r="G570" s="3"/>
    </row>
    <row r="571" spans="5:7" x14ac:dyDescent="0.35">
      <c r="E571" s="3"/>
      <c r="G571" s="3"/>
    </row>
    <row r="572" spans="5:7" x14ac:dyDescent="0.35">
      <c r="E572" s="3"/>
      <c r="G572" s="3"/>
    </row>
    <row r="573" spans="5:7" x14ac:dyDescent="0.35">
      <c r="E573" s="3"/>
      <c r="G573" s="3"/>
    </row>
    <row r="574" spans="5:7" x14ac:dyDescent="0.35">
      <c r="E574" s="3"/>
      <c r="G574" s="3"/>
    </row>
    <row r="575" spans="5:7" x14ac:dyDescent="0.35">
      <c r="E575" s="3"/>
      <c r="G575" s="3"/>
    </row>
    <row r="576" spans="5:7" x14ac:dyDescent="0.35">
      <c r="E576" s="3"/>
      <c r="G576" s="3"/>
    </row>
    <row r="577" spans="5:7" x14ac:dyDescent="0.35">
      <c r="E577" s="3"/>
      <c r="G577" s="3"/>
    </row>
    <row r="578" spans="5:7" x14ac:dyDescent="0.35">
      <c r="E578" s="3"/>
      <c r="G578" s="3"/>
    </row>
    <row r="579" spans="5:7" x14ac:dyDescent="0.35">
      <c r="E579" s="3"/>
      <c r="G579" s="3"/>
    </row>
    <row r="580" spans="5:7" x14ac:dyDescent="0.35">
      <c r="E580" s="3"/>
      <c r="G580" s="3"/>
    </row>
    <row r="581" spans="5:7" x14ac:dyDescent="0.35">
      <c r="E581" s="3"/>
      <c r="G581" s="3"/>
    </row>
    <row r="582" spans="5:7" x14ac:dyDescent="0.35">
      <c r="E582" s="3"/>
      <c r="G582" s="3"/>
    </row>
    <row r="583" spans="5:7" x14ac:dyDescent="0.35">
      <c r="E583" s="3"/>
      <c r="G583" s="3"/>
    </row>
    <row r="584" spans="5:7" x14ac:dyDescent="0.35">
      <c r="E584" s="3"/>
      <c r="G584" s="3"/>
    </row>
    <row r="585" spans="5:7" x14ac:dyDescent="0.35">
      <c r="E585" s="3"/>
      <c r="G585" s="3"/>
    </row>
    <row r="586" spans="5:7" x14ac:dyDescent="0.35">
      <c r="E586" s="3"/>
      <c r="G586" s="3"/>
    </row>
    <row r="587" spans="5:7" x14ac:dyDescent="0.35">
      <c r="E587" s="3"/>
      <c r="G587" s="3"/>
    </row>
    <row r="588" spans="5:7" x14ac:dyDescent="0.35">
      <c r="E588" s="3"/>
      <c r="G588" s="3"/>
    </row>
    <row r="589" spans="5:7" x14ac:dyDescent="0.35">
      <c r="E589" s="3"/>
      <c r="G589" s="3"/>
    </row>
    <row r="590" spans="5:7" x14ac:dyDescent="0.35">
      <c r="E590" s="3"/>
      <c r="G590" s="3"/>
    </row>
    <row r="591" spans="5:7" x14ac:dyDescent="0.35">
      <c r="E591" s="3"/>
      <c r="G591" s="3"/>
    </row>
    <row r="592" spans="5:7" x14ac:dyDescent="0.35">
      <c r="E592" s="3"/>
      <c r="G592" s="3"/>
    </row>
    <row r="593" spans="5:7" x14ac:dyDescent="0.35">
      <c r="E593" s="3"/>
      <c r="G593" s="3"/>
    </row>
    <row r="594" spans="5:7" x14ac:dyDescent="0.35">
      <c r="E594" s="3"/>
      <c r="G594" s="3"/>
    </row>
    <row r="595" spans="5:7" x14ac:dyDescent="0.35">
      <c r="E595" s="3"/>
      <c r="G595" s="3"/>
    </row>
    <row r="596" spans="5:7" x14ac:dyDescent="0.35">
      <c r="E596" s="3"/>
      <c r="G596" s="3"/>
    </row>
    <row r="597" spans="5:7" x14ac:dyDescent="0.35">
      <c r="E597" s="3"/>
      <c r="G597" s="3"/>
    </row>
    <row r="598" spans="5:7" x14ac:dyDescent="0.35">
      <c r="E598" s="3"/>
      <c r="G598" s="3"/>
    </row>
    <row r="599" spans="5:7" x14ac:dyDescent="0.35">
      <c r="E599" s="3"/>
      <c r="G599" s="3"/>
    </row>
    <row r="600" spans="5:7" x14ac:dyDescent="0.35">
      <c r="E600" s="3"/>
      <c r="G600" s="3"/>
    </row>
    <row r="601" spans="5:7" x14ac:dyDescent="0.35">
      <c r="E601" s="3"/>
      <c r="G601" s="3"/>
    </row>
    <row r="602" spans="5:7" x14ac:dyDescent="0.35">
      <c r="E602" s="3"/>
      <c r="G602" s="3"/>
    </row>
    <row r="603" spans="5:7" x14ac:dyDescent="0.35">
      <c r="E603" s="3"/>
      <c r="G603" s="3"/>
    </row>
    <row r="604" spans="5:7" x14ac:dyDescent="0.35">
      <c r="E604" s="3"/>
      <c r="G604" s="3"/>
    </row>
    <row r="605" spans="5:7" x14ac:dyDescent="0.35">
      <c r="E605" s="3"/>
      <c r="G605" s="3"/>
    </row>
    <row r="606" spans="5:7" x14ac:dyDescent="0.35">
      <c r="E606" s="3"/>
      <c r="G606" s="3"/>
    </row>
    <row r="607" spans="5:7" x14ac:dyDescent="0.35">
      <c r="E607" s="3"/>
      <c r="G607" s="3"/>
    </row>
    <row r="608" spans="5:7" x14ac:dyDescent="0.35">
      <c r="E608" s="3"/>
      <c r="G608" s="3"/>
    </row>
    <row r="609" spans="5:7" x14ac:dyDescent="0.35">
      <c r="E609" s="3"/>
      <c r="G609" s="3"/>
    </row>
    <row r="610" spans="5:7" x14ac:dyDescent="0.35">
      <c r="E610" s="3"/>
      <c r="G610" s="3"/>
    </row>
    <row r="611" spans="5:7" x14ac:dyDescent="0.35">
      <c r="E611" s="3"/>
      <c r="G611" s="3"/>
    </row>
    <row r="612" spans="5:7" x14ac:dyDescent="0.35">
      <c r="E612" s="3"/>
      <c r="G612" s="3"/>
    </row>
    <row r="613" spans="5:7" x14ac:dyDescent="0.35">
      <c r="E613" s="3"/>
      <c r="G613" s="3"/>
    </row>
    <row r="614" spans="5:7" x14ac:dyDescent="0.35">
      <c r="E614" s="3"/>
      <c r="G614" s="3"/>
    </row>
    <row r="615" spans="5:7" x14ac:dyDescent="0.35">
      <c r="E615" s="3"/>
      <c r="G615" s="3"/>
    </row>
    <row r="616" spans="5:7" x14ac:dyDescent="0.35">
      <c r="E616" s="3"/>
      <c r="G616" s="3"/>
    </row>
    <row r="617" spans="5:7" x14ac:dyDescent="0.35">
      <c r="E617" s="3"/>
      <c r="G617" s="3"/>
    </row>
    <row r="618" spans="5:7" x14ac:dyDescent="0.35">
      <c r="E618" s="3"/>
      <c r="G618" s="3"/>
    </row>
    <row r="619" spans="5:7" x14ac:dyDescent="0.35">
      <c r="E619" s="3"/>
      <c r="G619" s="3"/>
    </row>
    <row r="620" spans="5:7" x14ac:dyDescent="0.35">
      <c r="E620" s="3"/>
      <c r="G620" s="3"/>
    </row>
    <row r="621" spans="5:7" x14ac:dyDescent="0.35">
      <c r="E621" s="3"/>
      <c r="G621" s="3"/>
    </row>
    <row r="622" spans="5:7" x14ac:dyDescent="0.35">
      <c r="E622" s="3"/>
      <c r="G622" s="3"/>
    </row>
    <row r="623" spans="5:7" x14ac:dyDescent="0.35">
      <c r="E623" s="3"/>
      <c r="G623" s="3"/>
    </row>
    <row r="624" spans="5:7" x14ac:dyDescent="0.35">
      <c r="E624" s="3"/>
      <c r="G624" s="3"/>
    </row>
    <row r="625" spans="5:7" x14ac:dyDescent="0.35">
      <c r="E625" s="3"/>
      <c r="G625" s="3"/>
    </row>
    <row r="626" spans="5:7" x14ac:dyDescent="0.35">
      <c r="E626" s="3"/>
      <c r="G626" s="3"/>
    </row>
    <row r="627" spans="5:7" x14ac:dyDescent="0.35">
      <c r="E627" s="3"/>
      <c r="G627" s="3"/>
    </row>
    <row r="628" spans="5:7" x14ac:dyDescent="0.35">
      <c r="E628" s="3"/>
      <c r="G628" s="3"/>
    </row>
    <row r="629" spans="5:7" x14ac:dyDescent="0.35">
      <c r="E629" s="3"/>
      <c r="G629" s="3"/>
    </row>
    <row r="630" spans="5:7" x14ac:dyDescent="0.35">
      <c r="E630" s="3"/>
      <c r="G630" s="3"/>
    </row>
    <row r="631" spans="5:7" x14ac:dyDescent="0.35">
      <c r="E631" s="3"/>
      <c r="G631" s="3"/>
    </row>
    <row r="632" spans="5:7" x14ac:dyDescent="0.35">
      <c r="E632" s="3"/>
      <c r="G632" s="3"/>
    </row>
    <row r="633" spans="5:7" x14ac:dyDescent="0.35">
      <c r="E633" s="3"/>
      <c r="G633" s="3"/>
    </row>
    <row r="634" spans="5:7" x14ac:dyDescent="0.35">
      <c r="E634" s="3"/>
      <c r="G634" s="3"/>
    </row>
    <row r="635" spans="5:7" x14ac:dyDescent="0.35">
      <c r="E635" s="3"/>
      <c r="G635" s="3"/>
    </row>
    <row r="636" spans="5:7" x14ac:dyDescent="0.35">
      <c r="E636" s="3"/>
      <c r="G636" s="3"/>
    </row>
    <row r="637" spans="5:7" x14ac:dyDescent="0.35">
      <c r="E637" s="3"/>
      <c r="G637" s="3"/>
    </row>
    <row r="638" spans="5:7" x14ac:dyDescent="0.35">
      <c r="E638" s="3"/>
      <c r="G638" s="3"/>
    </row>
    <row r="639" spans="5:7" x14ac:dyDescent="0.35">
      <c r="E639" s="3"/>
      <c r="G639" s="3"/>
    </row>
    <row r="640" spans="5:7" x14ac:dyDescent="0.35">
      <c r="E640" s="3"/>
      <c r="G640" s="3"/>
    </row>
    <row r="641" spans="5:7" x14ac:dyDescent="0.35">
      <c r="E641" s="3"/>
      <c r="G641" s="3"/>
    </row>
    <row r="642" spans="5:7" x14ac:dyDescent="0.35">
      <c r="E642" s="3"/>
      <c r="G642" s="3"/>
    </row>
    <row r="643" spans="5:7" x14ac:dyDescent="0.35">
      <c r="E643" s="3"/>
      <c r="G643" s="3"/>
    </row>
    <row r="644" spans="5:7" x14ac:dyDescent="0.35">
      <c r="E644" s="3"/>
      <c r="G644" s="3"/>
    </row>
    <row r="645" spans="5:7" x14ac:dyDescent="0.35">
      <c r="E645" s="3"/>
      <c r="G645" s="3"/>
    </row>
    <row r="646" spans="5:7" x14ac:dyDescent="0.35">
      <c r="E646" s="3"/>
      <c r="G646" s="3"/>
    </row>
    <row r="647" spans="5:7" x14ac:dyDescent="0.35">
      <c r="E647" s="3"/>
      <c r="G647" s="3"/>
    </row>
    <row r="648" spans="5:7" x14ac:dyDescent="0.35">
      <c r="E648" s="3"/>
      <c r="G648" s="3"/>
    </row>
    <row r="649" spans="5:7" x14ac:dyDescent="0.35">
      <c r="E649" s="3"/>
      <c r="G649" s="3"/>
    </row>
    <row r="650" spans="5:7" x14ac:dyDescent="0.35">
      <c r="E650" s="3"/>
      <c r="G650" s="3"/>
    </row>
    <row r="651" spans="5:7" x14ac:dyDescent="0.35">
      <c r="E651" s="3"/>
      <c r="G651" s="3"/>
    </row>
    <row r="652" spans="5:7" x14ac:dyDescent="0.35">
      <c r="E652" s="3"/>
      <c r="G652" s="3"/>
    </row>
    <row r="653" spans="5:7" x14ac:dyDescent="0.35">
      <c r="E653" s="3"/>
      <c r="G653" s="3"/>
    </row>
    <row r="654" spans="5:7" x14ac:dyDescent="0.35">
      <c r="E654" s="3"/>
      <c r="G654" s="3"/>
    </row>
    <row r="655" spans="5:7" x14ac:dyDescent="0.35">
      <c r="E655" s="3"/>
      <c r="G655" s="3"/>
    </row>
    <row r="656" spans="5:7" x14ac:dyDescent="0.35">
      <c r="E656" s="3"/>
      <c r="G656" s="3"/>
    </row>
    <row r="657" spans="5:7" x14ac:dyDescent="0.35">
      <c r="E657" s="3"/>
      <c r="G657" s="3"/>
    </row>
    <row r="658" spans="5:7" x14ac:dyDescent="0.35">
      <c r="E658" s="3"/>
      <c r="G658" s="3"/>
    </row>
    <row r="659" spans="5:7" x14ac:dyDescent="0.35">
      <c r="E659" s="3"/>
      <c r="G659" s="3"/>
    </row>
    <row r="660" spans="5:7" x14ac:dyDescent="0.35">
      <c r="E660" s="3"/>
      <c r="G660" s="3"/>
    </row>
    <row r="661" spans="5:7" x14ac:dyDescent="0.35">
      <c r="E661" s="3"/>
      <c r="G661" s="3"/>
    </row>
    <row r="662" spans="5:7" x14ac:dyDescent="0.35">
      <c r="E662" s="3"/>
      <c r="G662" s="3"/>
    </row>
    <row r="663" spans="5:7" x14ac:dyDescent="0.35">
      <c r="E663" s="3"/>
      <c r="G663" s="3"/>
    </row>
    <row r="664" spans="5:7" x14ac:dyDescent="0.35">
      <c r="E664" s="3"/>
      <c r="G664" s="3"/>
    </row>
    <row r="665" spans="5:7" x14ac:dyDescent="0.35">
      <c r="E665" s="3"/>
      <c r="G665" s="3"/>
    </row>
    <row r="666" spans="5:7" x14ac:dyDescent="0.35">
      <c r="E666" s="3"/>
      <c r="G666" s="3"/>
    </row>
    <row r="667" spans="5:7" x14ac:dyDescent="0.35">
      <c r="E667" s="3"/>
      <c r="G667" s="3"/>
    </row>
    <row r="668" spans="5:7" x14ac:dyDescent="0.35">
      <c r="E668" s="3"/>
      <c r="G668" s="3"/>
    </row>
    <row r="669" spans="5:7" x14ac:dyDescent="0.35">
      <c r="E669" s="3"/>
      <c r="G669" s="3"/>
    </row>
    <row r="670" spans="5:7" x14ac:dyDescent="0.35">
      <c r="E670" s="3"/>
      <c r="G670" s="3"/>
    </row>
    <row r="671" spans="5:7" x14ac:dyDescent="0.35">
      <c r="E671" s="3"/>
      <c r="G671" s="3"/>
    </row>
    <row r="672" spans="5:7" x14ac:dyDescent="0.35">
      <c r="E672" s="3"/>
      <c r="G672" s="3"/>
    </row>
    <row r="673" spans="5:7" x14ac:dyDescent="0.35">
      <c r="E673" s="3"/>
      <c r="G673" s="3"/>
    </row>
    <row r="674" spans="5:7" x14ac:dyDescent="0.35">
      <c r="E674" s="3"/>
      <c r="G674" s="3"/>
    </row>
    <row r="675" spans="5:7" x14ac:dyDescent="0.35">
      <c r="E675" s="3"/>
      <c r="G675" s="3"/>
    </row>
    <row r="676" spans="5:7" x14ac:dyDescent="0.35">
      <c r="E676" s="3"/>
      <c r="G676" s="3"/>
    </row>
    <row r="677" spans="5:7" x14ac:dyDescent="0.35">
      <c r="E677" s="3"/>
      <c r="G677" s="3"/>
    </row>
    <row r="678" spans="5:7" x14ac:dyDescent="0.35">
      <c r="E678" s="3"/>
      <c r="G678" s="3"/>
    </row>
    <row r="679" spans="5:7" x14ac:dyDescent="0.35">
      <c r="E679" s="3"/>
      <c r="G679" s="3"/>
    </row>
    <row r="680" spans="5:7" x14ac:dyDescent="0.35">
      <c r="E680" s="3"/>
      <c r="G680" s="3"/>
    </row>
    <row r="681" spans="5:7" x14ac:dyDescent="0.35">
      <c r="E681" s="3"/>
      <c r="G681" s="3"/>
    </row>
    <row r="682" spans="5:7" x14ac:dyDescent="0.35">
      <c r="E682" s="3"/>
      <c r="G682" s="3"/>
    </row>
    <row r="683" spans="5:7" x14ac:dyDescent="0.35">
      <c r="E683" s="3"/>
      <c r="G683" s="3"/>
    </row>
    <row r="684" spans="5:7" x14ac:dyDescent="0.35">
      <c r="E684" s="3"/>
      <c r="G684" s="3"/>
    </row>
    <row r="685" spans="5:7" x14ac:dyDescent="0.35">
      <c r="E685" s="3"/>
      <c r="G685" s="3"/>
    </row>
    <row r="686" spans="5:7" x14ac:dyDescent="0.35">
      <c r="E686" s="3"/>
      <c r="G686" s="3"/>
    </row>
    <row r="687" spans="5:7" x14ac:dyDescent="0.35">
      <c r="E687" s="3"/>
      <c r="G687" s="3"/>
    </row>
    <row r="688" spans="5:7" x14ac:dyDescent="0.35">
      <c r="E688" s="3"/>
      <c r="G688" s="3"/>
    </row>
    <row r="689" spans="5:7" x14ac:dyDescent="0.35">
      <c r="E689" s="3"/>
      <c r="G689" s="3"/>
    </row>
    <row r="690" spans="5:7" x14ac:dyDescent="0.35">
      <c r="E690" s="3"/>
      <c r="G690" s="3"/>
    </row>
    <row r="691" spans="5:7" x14ac:dyDescent="0.35">
      <c r="E691" s="3"/>
      <c r="G691" s="3"/>
    </row>
    <row r="692" spans="5:7" x14ac:dyDescent="0.35">
      <c r="E692" s="3"/>
      <c r="G692" s="3"/>
    </row>
    <row r="693" spans="5:7" x14ac:dyDescent="0.35">
      <c r="E693" s="3"/>
      <c r="G693" s="3"/>
    </row>
    <row r="694" spans="5:7" x14ac:dyDescent="0.35">
      <c r="E694" s="3"/>
      <c r="G694" s="3"/>
    </row>
    <row r="695" spans="5:7" x14ac:dyDescent="0.35">
      <c r="E695" s="3"/>
      <c r="G695" s="3"/>
    </row>
    <row r="696" spans="5:7" x14ac:dyDescent="0.35">
      <c r="E696" s="3"/>
      <c r="G696" s="3"/>
    </row>
    <row r="697" spans="5:7" x14ac:dyDescent="0.35">
      <c r="E697" s="3"/>
      <c r="G697" s="3"/>
    </row>
    <row r="698" spans="5:7" x14ac:dyDescent="0.35">
      <c r="E698" s="3"/>
      <c r="G698" s="3"/>
    </row>
    <row r="699" spans="5:7" x14ac:dyDescent="0.35">
      <c r="E699" s="3"/>
      <c r="G699" s="3"/>
    </row>
    <row r="700" spans="5:7" x14ac:dyDescent="0.35">
      <c r="E700" s="3"/>
      <c r="G700" s="3"/>
    </row>
    <row r="701" spans="5:7" x14ac:dyDescent="0.35">
      <c r="E701" s="3"/>
      <c r="G701" s="3"/>
    </row>
    <row r="702" spans="5:7" x14ac:dyDescent="0.35">
      <c r="E702" s="3"/>
      <c r="G702" s="3"/>
    </row>
    <row r="703" spans="5:7" x14ac:dyDescent="0.35">
      <c r="E703" s="3"/>
      <c r="G703" s="3"/>
    </row>
    <row r="704" spans="5:7" x14ac:dyDescent="0.35">
      <c r="E704" s="3"/>
      <c r="G704" s="3"/>
    </row>
    <row r="705" spans="5:7" x14ac:dyDescent="0.35">
      <c r="E705" s="3"/>
      <c r="G705" s="3"/>
    </row>
    <row r="706" spans="5:7" x14ac:dyDescent="0.35">
      <c r="E706" s="3"/>
      <c r="G706" s="3"/>
    </row>
    <row r="707" spans="5:7" x14ac:dyDescent="0.35">
      <c r="E707" s="3"/>
      <c r="G707" s="3"/>
    </row>
    <row r="708" spans="5:7" x14ac:dyDescent="0.35">
      <c r="E708" s="3"/>
      <c r="G708" s="3"/>
    </row>
    <row r="709" spans="5:7" x14ac:dyDescent="0.35">
      <c r="E709" s="3"/>
      <c r="G709" s="3"/>
    </row>
    <row r="710" spans="5:7" x14ac:dyDescent="0.35">
      <c r="E710" s="3"/>
      <c r="G710" s="3"/>
    </row>
    <row r="711" spans="5:7" x14ac:dyDescent="0.35">
      <c r="E711" s="3"/>
      <c r="G711" s="3"/>
    </row>
    <row r="712" spans="5:7" x14ac:dyDescent="0.35">
      <c r="E712" s="3"/>
      <c r="G712" s="3"/>
    </row>
    <row r="713" spans="5:7" x14ac:dyDescent="0.35">
      <c r="E713" s="3"/>
      <c r="G713" s="3"/>
    </row>
    <row r="714" spans="5:7" x14ac:dyDescent="0.35">
      <c r="E714" s="3"/>
      <c r="G714" s="3"/>
    </row>
    <row r="715" spans="5:7" x14ac:dyDescent="0.35">
      <c r="E715" s="3"/>
      <c r="G715" s="3"/>
    </row>
    <row r="716" spans="5:7" x14ac:dyDescent="0.35">
      <c r="E716" s="3"/>
      <c r="G716" s="3"/>
    </row>
    <row r="717" spans="5:7" x14ac:dyDescent="0.35">
      <c r="E717" s="3"/>
      <c r="G717" s="3"/>
    </row>
    <row r="718" spans="5:7" x14ac:dyDescent="0.35">
      <c r="E718" s="3"/>
      <c r="G718" s="3"/>
    </row>
    <row r="719" spans="5:7" x14ac:dyDescent="0.35">
      <c r="E719" s="3"/>
      <c r="G719" s="3"/>
    </row>
    <row r="720" spans="5:7" x14ac:dyDescent="0.35">
      <c r="E720" s="3"/>
      <c r="G720" s="3"/>
    </row>
    <row r="721" spans="5:7" x14ac:dyDescent="0.35">
      <c r="E721" s="3"/>
      <c r="G721" s="3"/>
    </row>
    <row r="722" spans="5:7" x14ac:dyDescent="0.35">
      <c r="E722" s="3"/>
      <c r="G722" s="3"/>
    </row>
    <row r="723" spans="5:7" x14ac:dyDescent="0.35">
      <c r="E723" s="3"/>
      <c r="G723" s="3"/>
    </row>
    <row r="724" spans="5:7" x14ac:dyDescent="0.35">
      <c r="E724" s="3"/>
      <c r="G724" s="3"/>
    </row>
    <row r="725" spans="5:7" x14ac:dyDescent="0.35">
      <c r="E725" s="3"/>
      <c r="G725" s="3"/>
    </row>
    <row r="726" spans="5:7" x14ac:dyDescent="0.35">
      <c r="E726" s="3"/>
      <c r="G726" s="3"/>
    </row>
    <row r="727" spans="5:7" x14ac:dyDescent="0.35">
      <c r="E727" s="3"/>
      <c r="G727" s="3"/>
    </row>
    <row r="728" spans="5:7" x14ac:dyDescent="0.35">
      <c r="E728" s="3"/>
      <c r="G728" s="3"/>
    </row>
    <row r="729" spans="5:7" x14ac:dyDescent="0.35">
      <c r="E729" s="3"/>
      <c r="G729" s="3"/>
    </row>
    <row r="730" spans="5:7" x14ac:dyDescent="0.35">
      <c r="E730" s="3"/>
      <c r="G730" s="3"/>
    </row>
    <row r="731" spans="5:7" x14ac:dyDescent="0.35">
      <c r="E731" s="3"/>
      <c r="G731" s="3"/>
    </row>
    <row r="732" spans="5:7" x14ac:dyDescent="0.35">
      <c r="E732" s="3"/>
      <c r="G732" s="3"/>
    </row>
    <row r="733" spans="5:7" x14ac:dyDescent="0.35">
      <c r="E733" s="3"/>
      <c r="G733" s="3"/>
    </row>
    <row r="734" spans="5:7" x14ac:dyDescent="0.35">
      <c r="E734" s="3"/>
      <c r="G734" s="3"/>
    </row>
    <row r="735" spans="5:7" x14ac:dyDescent="0.35">
      <c r="E735" s="3"/>
      <c r="G735" s="3"/>
    </row>
    <row r="736" spans="5:7" x14ac:dyDescent="0.35">
      <c r="E736" s="3"/>
      <c r="G736" s="3"/>
    </row>
    <row r="737" spans="5:7" x14ac:dyDescent="0.35">
      <c r="E737" s="3"/>
      <c r="G737" s="3"/>
    </row>
    <row r="738" spans="5:7" x14ac:dyDescent="0.35">
      <c r="E738" s="3"/>
      <c r="G738" s="3"/>
    </row>
    <row r="739" spans="5:7" x14ac:dyDescent="0.35">
      <c r="E739" s="3"/>
      <c r="G739" s="3"/>
    </row>
    <row r="740" spans="5:7" x14ac:dyDescent="0.35">
      <c r="E740" s="3"/>
      <c r="G740" s="3"/>
    </row>
    <row r="741" spans="5:7" x14ac:dyDescent="0.35">
      <c r="E741" s="3"/>
      <c r="G741" s="3"/>
    </row>
    <row r="742" spans="5:7" x14ac:dyDescent="0.35">
      <c r="E742" s="3"/>
      <c r="G742" s="3"/>
    </row>
    <row r="743" spans="5:7" x14ac:dyDescent="0.35">
      <c r="E743" s="3"/>
      <c r="G743" s="3"/>
    </row>
    <row r="744" spans="5:7" x14ac:dyDescent="0.35">
      <c r="E744" s="3"/>
      <c r="G744" s="3"/>
    </row>
    <row r="745" spans="5:7" x14ac:dyDescent="0.35">
      <c r="E745" s="3"/>
      <c r="G745" s="3"/>
    </row>
    <row r="746" spans="5:7" x14ac:dyDescent="0.35">
      <c r="E746" s="3"/>
      <c r="G746" s="3"/>
    </row>
    <row r="747" spans="5:7" x14ac:dyDescent="0.35">
      <c r="E747" s="3"/>
      <c r="G747" s="3"/>
    </row>
    <row r="748" spans="5:7" x14ac:dyDescent="0.35">
      <c r="E748" s="3"/>
      <c r="G748" s="3"/>
    </row>
    <row r="749" spans="5:7" x14ac:dyDescent="0.35">
      <c r="E749" s="3"/>
      <c r="G749" s="3"/>
    </row>
    <row r="750" spans="5:7" x14ac:dyDescent="0.35">
      <c r="E750" s="3"/>
      <c r="G750" s="3"/>
    </row>
    <row r="751" spans="5:7" x14ac:dyDescent="0.35">
      <c r="E751" s="3"/>
      <c r="G751" s="3"/>
    </row>
    <row r="752" spans="5:7" x14ac:dyDescent="0.35">
      <c r="E752" s="3"/>
      <c r="G752" s="3"/>
    </row>
    <row r="753" spans="5:7" x14ac:dyDescent="0.35">
      <c r="E753" s="3"/>
      <c r="G753" s="3"/>
    </row>
    <row r="754" spans="5:7" x14ac:dyDescent="0.35">
      <c r="E754" s="3"/>
      <c r="G754" s="3"/>
    </row>
    <row r="755" spans="5:7" x14ac:dyDescent="0.35">
      <c r="E755" s="3"/>
      <c r="G755" s="3"/>
    </row>
    <row r="756" spans="5:7" x14ac:dyDescent="0.35">
      <c r="E756" s="3"/>
      <c r="G756" s="3"/>
    </row>
    <row r="757" spans="5:7" x14ac:dyDescent="0.35">
      <c r="E757" s="3"/>
      <c r="G757" s="3"/>
    </row>
    <row r="758" spans="5:7" x14ac:dyDescent="0.35">
      <c r="E758" s="3"/>
      <c r="G758" s="3"/>
    </row>
    <row r="759" spans="5:7" x14ac:dyDescent="0.35">
      <c r="E759" s="3"/>
      <c r="G759" s="3"/>
    </row>
    <row r="760" spans="5:7" x14ac:dyDescent="0.35">
      <c r="E760" s="3"/>
      <c r="G760" s="3"/>
    </row>
    <row r="761" spans="5:7" x14ac:dyDescent="0.35">
      <c r="E761" s="3"/>
      <c r="G761" s="3"/>
    </row>
    <row r="762" spans="5:7" x14ac:dyDescent="0.35">
      <c r="E762" s="3"/>
      <c r="G762" s="3"/>
    </row>
    <row r="763" spans="5:7" x14ac:dyDescent="0.35">
      <c r="E763" s="3"/>
      <c r="G763" s="3"/>
    </row>
    <row r="764" spans="5:7" x14ac:dyDescent="0.35">
      <c r="E764" s="3"/>
      <c r="G764" s="3"/>
    </row>
    <row r="765" spans="5:7" x14ac:dyDescent="0.35">
      <c r="E765" s="3"/>
      <c r="G765" s="3"/>
    </row>
    <row r="766" spans="5:7" x14ac:dyDescent="0.35">
      <c r="E766" s="3"/>
      <c r="G766" s="3"/>
    </row>
    <row r="767" spans="5:7" x14ac:dyDescent="0.35">
      <c r="E767" s="3"/>
      <c r="G767" s="3"/>
    </row>
    <row r="768" spans="5:7" x14ac:dyDescent="0.35">
      <c r="E768" s="3"/>
      <c r="G768" s="3"/>
    </row>
    <row r="769" spans="5:7" x14ac:dyDescent="0.35">
      <c r="E769" s="3"/>
      <c r="G769" s="3"/>
    </row>
    <row r="770" spans="5:7" x14ac:dyDescent="0.35">
      <c r="E770" s="3"/>
      <c r="G770" s="3"/>
    </row>
    <row r="771" spans="5:7" x14ac:dyDescent="0.35">
      <c r="E771" s="3"/>
      <c r="G771" s="3"/>
    </row>
    <row r="772" spans="5:7" x14ac:dyDescent="0.35">
      <c r="E772" s="3"/>
      <c r="G772" s="3"/>
    </row>
    <row r="773" spans="5:7" x14ac:dyDescent="0.35">
      <c r="E773" s="3"/>
      <c r="G773" s="3"/>
    </row>
    <row r="774" spans="5:7" x14ac:dyDescent="0.35">
      <c r="E774" s="3"/>
      <c r="G774" s="3"/>
    </row>
    <row r="775" spans="5:7" x14ac:dyDescent="0.35">
      <c r="E775" s="3"/>
      <c r="G775" s="3"/>
    </row>
    <row r="776" spans="5:7" x14ac:dyDescent="0.35">
      <c r="E776" s="3"/>
      <c r="G776" s="3"/>
    </row>
    <row r="777" spans="5:7" x14ac:dyDescent="0.35">
      <c r="E777" s="3"/>
      <c r="G777" s="3"/>
    </row>
    <row r="778" spans="5:7" x14ac:dyDescent="0.35">
      <c r="E778" s="3"/>
      <c r="G778" s="3"/>
    </row>
    <row r="779" spans="5:7" x14ac:dyDescent="0.35">
      <c r="E779" s="3"/>
      <c r="G779" s="3"/>
    </row>
    <row r="780" spans="5:7" x14ac:dyDescent="0.35">
      <c r="E780" s="3"/>
      <c r="G780" s="3"/>
    </row>
    <row r="781" spans="5:7" x14ac:dyDescent="0.35">
      <c r="E781" s="3"/>
      <c r="G781" s="3"/>
    </row>
    <row r="782" spans="5:7" x14ac:dyDescent="0.35">
      <c r="E782" s="3"/>
      <c r="G782" s="3"/>
    </row>
    <row r="783" spans="5:7" x14ac:dyDescent="0.35">
      <c r="E783" s="3"/>
      <c r="G783" s="3"/>
    </row>
    <row r="784" spans="5:7" x14ac:dyDescent="0.35">
      <c r="E784" s="3"/>
      <c r="G784" s="3"/>
    </row>
    <row r="785" spans="5:7" x14ac:dyDescent="0.35">
      <c r="E785" s="3"/>
      <c r="G785" s="3"/>
    </row>
    <row r="786" spans="5:7" x14ac:dyDescent="0.35">
      <c r="E786" s="3"/>
      <c r="G786" s="3"/>
    </row>
    <row r="787" spans="5:7" x14ac:dyDescent="0.35">
      <c r="E787" s="3"/>
      <c r="G787" s="3"/>
    </row>
    <row r="788" spans="5:7" x14ac:dyDescent="0.35">
      <c r="E788" s="3"/>
      <c r="G788" s="3"/>
    </row>
    <row r="789" spans="5:7" x14ac:dyDescent="0.35">
      <c r="E789" s="3"/>
      <c r="G789" s="3"/>
    </row>
    <row r="790" spans="5:7" x14ac:dyDescent="0.35">
      <c r="E790" s="3"/>
      <c r="G790" s="3"/>
    </row>
    <row r="791" spans="5:7" x14ac:dyDescent="0.35">
      <c r="E791" s="3"/>
      <c r="G791" s="3"/>
    </row>
    <row r="792" spans="5:7" x14ac:dyDescent="0.35">
      <c r="E792" s="3"/>
      <c r="G792" s="3"/>
    </row>
    <row r="793" spans="5:7" x14ac:dyDescent="0.35">
      <c r="E793" s="3"/>
      <c r="G793" s="3"/>
    </row>
    <row r="794" spans="5:7" x14ac:dyDescent="0.35">
      <c r="E794" s="3"/>
      <c r="G794" s="3"/>
    </row>
    <row r="795" spans="5:7" x14ac:dyDescent="0.35">
      <c r="E795" s="3"/>
      <c r="G795" s="3"/>
    </row>
    <row r="796" spans="5:7" x14ac:dyDescent="0.35">
      <c r="E796" s="3"/>
      <c r="G796" s="3"/>
    </row>
    <row r="797" spans="5:7" x14ac:dyDescent="0.35">
      <c r="E797" s="3"/>
      <c r="G797" s="3"/>
    </row>
    <row r="798" spans="5:7" x14ac:dyDescent="0.35">
      <c r="E798" s="3"/>
      <c r="G798" s="3"/>
    </row>
    <row r="799" spans="5:7" x14ac:dyDescent="0.35">
      <c r="E799" s="3"/>
      <c r="G799" s="3"/>
    </row>
    <row r="800" spans="5:7" x14ac:dyDescent="0.35">
      <c r="E800" s="3"/>
      <c r="G800" s="3"/>
    </row>
    <row r="801" spans="5:7" x14ac:dyDescent="0.35">
      <c r="E801" s="3"/>
      <c r="G801" s="3"/>
    </row>
    <row r="802" spans="5:7" x14ac:dyDescent="0.35">
      <c r="E802" s="3"/>
      <c r="G802" s="3"/>
    </row>
    <row r="803" spans="5:7" x14ac:dyDescent="0.35">
      <c r="E803" s="3"/>
      <c r="G803" s="3"/>
    </row>
    <row r="804" spans="5:7" x14ac:dyDescent="0.35">
      <c r="E804" s="3"/>
      <c r="G804" s="3"/>
    </row>
    <row r="805" spans="5:7" x14ac:dyDescent="0.35">
      <c r="E805" s="3"/>
      <c r="G805" s="3"/>
    </row>
    <row r="806" spans="5:7" x14ac:dyDescent="0.35">
      <c r="E806" s="3"/>
      <c r="G806" s="3"/>
    </row>
    <row r="807" spans="5:7" x14ac:dyDescent="0.35">
      <c r="E807" s="3"/>
      <c r="G807" s="3"/>
    </row>
    <row r="808" spans="5:7" x14ac:dyDescent="0.35">
      <c r="E808" s="3"/>
      <c r="G808" s="3"/>
    </row>
    <row r="809" spans="5:7" x14ac:dyDescent="0.35">
      <c r="E809" s="3"/>
      <c r="G809" s="3"/>
    </row>
    <row r="810" spans="5:7" x14ac:dyDescent="0.35">
      <c r="E810" s="3"/>
      <c r="G810" s="3"/>
    </row>
    <row r="811" spans="5:7" x14ac:dyDescent="0.35">
      <c r="E811" s="3"/>
      <c r="G811" s="3"/>
    </row>
    <row r="812" spans="5:7" x14ac:dyDescent="0.35">
      <c r="E812" s="3"/>
      <c r="G812" s="3"/>
    </row>
    <row r="813" spans="5:7" x14ac:dyDescent="0.35">
      <c r="E813" s="3"/>
      <c r="G813" s="3"/>
    </row>
    <row r="814" spans="5:7" x14ac:dyDescent="0.35">
      <c r="E814" s="3"/>
      <c r="G814" s="3"/>
    </row>
    <row r="815" spans="5:7" x14ac:dyDescent="0.35">
      <c r="E815" s="3"/>
      <c r="G815" s="3"/>
    </row>
    <row r="816" spans="5:7" x14ac:dyDescent="0.35">
      <c r="E816" s="3"/>
      <c r="G816" s="3"/>
    </row>
    <row r="817" spans="5:7" x14ac:dyDescent="0.35">
      <c r="E817" s="3"/>
      <c r="G817" s="3"/>
    </row>
    <row r="818" spans="5:7" x14ac:dyDescent="0.35">
      <c r="E818" s="3"/>
      <c r="G818" s="3"/>
    </row>
    <row r="819" spans="5:7" x14ac:dyDescent="0.35">
      <c r="E819" s="3"/>
      <c r="G819" s="3"/>
    </row>
    <row r="820" spans="5:7" x14ac:dyDescent="0.35">
      <c r="E820" s="3"/>
      <c r="G820" s="3"/>
    </row>
    <row r="821" spans="5:7" x14ac:dyDescent="0.35">
      <c r="E821" s="3"/>
      <c r="G821" s="3"/>
    </row>
    <row r="822" spans="5:7" x14ac:dyDescent="0.35">
      <c r="E822" s="3"/>
      <c r="G822" s="3"/>
    </row>
    <row r="823" spans="5:7" x14ac:dyDescent="0.35">
      <c r="E823" s="3"/>
      <c r="G823" s="3"/>
    </row>
    <row r="824" spans="5:7" x14ac:dyDescent="0.35">
      <c r="E824" s="3"/>
      <c r="G824" s="3"/>
    </row>
    <row r="825" spans="5:7" x14ac:dyDescent="0.35">
      <c r="E825" s="3"/>
      <c r="G825" s="3"/>
    </row>
    <row r="826" spans="5:7" x14ac:dyDescent="0.35">
      <c r="E826" s="3"/>
      <c r="G826" s="3"/>
    </row>
    <row r="827" spans="5:7" x14ac:dyDescent="0.35">
      <c r="E827" s="3"/>
      <c r="G827" s="3"/>
    </row>
    <row r="828" spans="5:7" x14ac:dyDescent="0.35">
      <c r="E828" s="3"/>
      <c r="G828" s="3"/>
    </row>
    <row r="829" spans="5:7" x14ac:dyDescent="0.35">
      <c r="E829" s="3"/>
      <c r="G829" s="3"/>
    </row>
    <row r="830" spans="5:7" x14ac:dyDescent="0.35">
      <c r="E830" s="3"/>
      <c r="G830" s="3"/>
    </row>
    <row r="831" spans="5:7" x14ac:dyDescent="0.35">
      <c r="E831" s="3"/>
      <c r="G831" s="3"/>
    </row>
    <row r="832" spans="5:7" x14ac:dyDescent="0.35">
      <c r="E832" s="3"/>
      <c r="G832" s="3"/>
    </row>
    <row r="833" spans="5:7" x14ac:dyDescent="0.35">
      <c r="E833" s="3"/>
      <c r="G833" s="3"/>
    </row>
    <row r="834" spans="5:7" x14ac:dyDescent="0.35">
      <c r="E834" s="3"/>
      <c r="G834" s="3"/>
    </row>
    <row r="835" spans="5:7" x14ac:dyDescent="0.35">
      <c r="E835" s="3"/>
      <c r="G835" s="3"/>
    </row>
    <row r="836" spans="5:7" x14ac:dyDescent="0.35">
      <c r="E836" s="3"/>
      <c r="G836" s="3"/>
    </row>
    <row r="837" spans="5:7" x14ac:dyDescent="0.35">
      <c r="E837" s="3"/>
      <c r="G837" s="3"/>
    </row>
    <row r="838" spans="5:7" x14ac:dyDescent="0.35">
      <c r="E838" s="3"/>
      <c r="G838" s="3"/>
    </row>
    <row r="839" spans="5:7" x14ac:dyDescent="0.35">
      <c r="E839" s="3"/>
      <c r="G839" s="3"/>
    </row>
    <row r="840" spans="5:7" x14ac:dyDescent="0.35">
      <c r="E840" s="3"/>
      <c r="G840" s="3"/>
    </row>
    <row r="841" spans="5:7" x14ac:dyDescent="0.35">
      <c r="E841" s="3"/>
      <c r="G841" s="3"/>
    </row>
    <row r="842" spans="5:7" x14ac:dyDescent="0.35">
      <c r="E842" s="3"/>
      <c r="G842" s="3"/>
    </row>
    <row r="843" spans="5:7" x14ac:dyDescent="0.35">
      <c r="E843" s="3"/>
      <c r="G843" s="3"/>
    </row>
    <row r="844" spans="5:7" x14ac:dyDescent="0.35">
      <c r="E844" s="3"/>
      <c r="G844" s="3"/>
    </row>
    <row r="845" spans="5:7" x14ac:dyDescent="0.35">
      <c r="E845" s="3"/>
      <c r="G845" s="3"/>
    </row>
    <row r="846" spans="5:7" x14ac:dyDescent="0.35">
      <c r="E846" s="3"/>
      <c r="G846" s="3"/>
    </row>
    <row r="847" spans="5:7" x14ac:dyDescent="0.35">
      <c r="E847" s="3"/>
      <c r="G847" s="3"/>
    </row>
    <row r="848" spans="5:7" x14ac:dyDescent="0.35">
      <c r="E848" s="3"/>
      <c r="G848" s="3"/>
    </row>
    <row r="849" spans="5:7" x14ac:dyDescent="0.35">
      <c r="E849" s="3"/>
      <c r="G849" s="3"/>
    </row>
    <row r="850" spans="5:7" x14ac:dyDescent="0.35">
      <c r="E850" s="3"/>
      <c r="G850" s="3"/>
    </row>
    <row r="851" spans="5:7" x14ac:dyDescent="0.35">
      <c r="E851" s="3"/>
      <c r="G851" s="3"/>
    </row>
    <row r="852" spans="5:7" x14ac:dyDescent="0.35">
      <c r="E852" s="3"/>
      <c r="G852" s="3"/>
    </row>
    <row r="853" spans="5:7" x14ac:dyDescent="0.35">
      <c r="E853" s="3"/>
      <c r="G853" s="3"/>
    </row>
    <row r="854" spans="5:7" x14ac:dyDescent="0.35">
      <c r="E854" s="3"/>
      <c r="G854" s="3"/>
    </row>
    <row r="855" spans="5:7" x14ac:dyDescent="0.35">
      <c r="E855" s="3"/>
      <c r="G855" s="3"/>
    </row>
    <row r="856" spans="5:7" x14ac:dyDescent="0.35">
      <c r="E856" s="3"/>
      <c r="G856" s="3"/>
    </row>
    <row r="857" spans="5:7" x14ac:dyDescent="0.35">
      <c r="E857" s="3"/>
      <c r="G857" s="3"/>
    </row>
    <row r="858" spans="5:7" x14ac:dyDescent="0.35">
      <c r="E858" s="3"/>
      <c r="G858" s="3"/>
    </row>
    <row r="859" spans="5:7" x14ac:dyDescent="0.35">
      <c r="E859" s="3"/>
      <c r="G859" s="3"/>
    </row>
    <row r="860" spans="5:7" x14ac:dyDescent="0.35">
      <c r="E860" s="3"/>
      <c r="G860" s="3"/>
    </row>
    <row r="861" spans="5:7" x14ac:dyDescent="0.35">
      <c r="E861" s="3"/>
      <c r="G861" s="3"/>
    </row>
    <row r="862" spans="5:7" x14ac:dyDescent="0.35">
      <c r="E862" s="3"/>
      <c r="G862" s="3"/>
    </row>
    <row r="863" spans="5:7" x14ac:dyDescent="0.35">
      <c r="E863" s="3"/>
      <c r="G863" s="3"/>
    </row>
    <row r="864" spans="5:7" x14ac:dyDescent="0.35">
      <c r="E864" s="3"/>
      <c r="G864" s="3"/>
    </row>
    <row r="865" spans="5:7" x14ac:dyDescent="0.35">
      <c r="E865" s="3"/>
      <c r="G865" s="3"/>
    </row>
    <row r="866" spans="5:7" x14ac:dyDescent="0.35">
      <c r="E866" s="3"/>
      <c r="G866" s="3"/>
    </row>
    <row r="867" spans="5:7" x14ac:dyDescent="0.35">
      <c r="E867" s="3"/>
      <c r="G867" s="3"/>
    </row>
    <row r="868" spans="5:7" x14ac:dyDescent="0.35">
      <c r="E868" s="3"/>
      <c r="G868" s="3"/>
    </row>
    <row r="869" spans="5:7" x14ac:dyDescent="0.35">
      <c r="E869" s="3"/>
      <c r="G869" s="3"/>
    </row>
    <row r="870" spans="5:7" x14ac:dyDescent="0.35">
      <c r="E870" s="3"/>
      <c r="G870" s="3"/>
    </row>
    <row r="871" spans="5:7" x14ac:dyDescent="0.35">
      <c r="E871" s="3"/>
      <c r="G871" s="3"/>
    </row>
    <row r="872" spans="5:7" x14ac:dyDescent="0.35">
      <c r="E872" s="3"/>
      <c r="G872" s="3"/>
    </row>
    <row r="873" spans="5:7" x14ac:dyDescent="0.35">
      <c r="E873" s="3"/>
      <c r="G873" s="3"/>
    </row>
    <row r="874" spans="5:7" x14ac:dyDescent="0.35">
      <c r="E874" s="3"/>
      <c r="G874" s="3"/>
    </row>
    <row r="875" spans="5:7" x14ac:dyDescent="0.35">
      <c r="E875" s="3"/>
      <c r="G875" s="3"/>
    </row>
    <row r="876" spans="5:7" x14ac:dyDescent="0.35">
      <c r="E876" s="3"/>
      <c r="G876" s="3"/>
    </row>
    <row r="877" spans="5:7" x14ac:dyDescent="0.35">
      <c r="E877" s="3"/>
      <c r="G877" s="3"/>
    </row>
    <row r="878" spans="5:7" x14ac:dyDescent="0.35">
      <c r="E878" s="3"/>
      <c r="G878" s="3"/>
    </row>
    <row r="879" spans="5:7" x14ac:dyDescent="0.35">
      <c r="E879" s="3"/>
      <c r="G879" s="3"/>
    </row>
    <row r="880" spans="5:7" x14ac:dyDescent="0.35">
      <c r="E880" s="3"/>
      <c r="G880" s="3"/>
    </row>
    <row r="881" spans="5:7" x14ac:dyDescent="0.35">
      <c r="E881" s="3"/>
      <c r="G881" s="3"/>
    </row>
    <row r="882" spans="5:7" x14ac:dyDescent="0.35">
      <c r="E882" s="3"/>
      <c r="G882" s="3"/>
    </row>
    <row r="883" spans="5:7" x14ac:dyDescent="0.35">
      <c r="E883" s="3"/>
      <c r="G883" s="3"/>
    </row>
    <row r="884" spans="5:7" x14ac:dyDescent="0.35">
      <c r="E884" s="3"/>
      <c r="G884" s="3"/>
    </row>
    <row r="885" spans="5:7" x14ac:dyDescent="0.35">
      <c r="E885" s="3"/>
      <c r="G885" s="3"/>
    </row>
    <row r="886" spans="5:7" x14ac:dyDescent="0.35">
      <c r="E886" s="3"/>
      <c r="G886" s="3"/>
    </row>
    <row r="887" spans="5:7" x14ac:dyDescent="0.35">
      <c r="E887" s="3"/>
      <c r="G887" s="3"/>
    </row>
    <row r="888" spans="5:7" x14ac:dyDescent="0.35">
      <c r="E888" s="3"/>
      <c r="G888" s="3"/>
    </row>
    <row r="889" spans="5:7" x14ac:dyDescent="0.35">
      <c r="E889" s="3"/>
      <c r="G889" s="3"/>
    </row>
    <row r="890" spans="5:7" x14ac:dyDescent="0.35">
      <c r="E890" s="3"/>
      <c r="G890" s="3"/>
    </row>
    <row r="891" spans="5:7" x14ac:dyDescent="0.35">
      <c r="E891" s="3"/>
      <c r="G891" s="3"/>
    </row>
    <row r="892" spans="5:7" x14ac:dyDescent="0.35">
      <c r="E892" s="3"/>
      <c r="G892" s="3"/>
    </row>
    <row r="893" spans="5:7" x14ac:dyDescent="0.35">
      <c r="E893" s="3"/>
      <c r="G893" s="3"/>
    </row>
    <row r="894" spans="5:7" x14ac:dyDescent="0.35">
      <c r="E894" s="3"/>
      <c r="G894" s="3"/>
    </row>
    <row r="895" spans="5:7" x14ac:dyDescent="0.35">
      <c r="E895" s="3"/>
      <c r="G895" s="3"/>
    </row>
    <row r="896" spans="5:7" x14ac:dyDescent="0.35">
      <c r="E896" s="3"/>
      <c r="G896" s="3"/>
    </row>
    <row r="897" spans="5:7" x14ac:dyDescent="0.35">
      <c r="E897" s="3"/>
      <c r="G897" s="3"/>
    </row>
    <row r="898" spans="5:7" x14ac:dyDescent="0.35">
      <c r="E898" s="3"/>
      <c r="G898" s="3"/>
    </row>
    <row r="899" spans="5:7" x14ac:dyDescent="0.35">
      <c r="E899" s="3"/>
      <c r="G899" s="3"/>
    </row>
    <row r="900" spans="5:7" x14ac:dyDescent="0.35">
      <c r="E900" s="3"/>
      <c r="G900" s="3"/>
    </row>
    <row r="901" spans="5:7" x14ac:dyDescent="0.35">
      <c r="E901" s="3"/>
      <c r="G901" s="3"/>
    </row>
    <row r="902" spans="5:7" x14ac:dyDescent="0.35">
      <c r="E902" s="3"/>
      <c r="G902" s="3"/>
    </row>
    <row r="903" spans="5:7" x14ac:dyDescent="0.35">
      <c r="E903" s="3"/>
      <c r="G903" s="3"/>
    </row>
    <row r="904" spans="5:7" x14ac:dyDescent="0.35">
      <c r="E904" s="3"/>
      <c r="G904" s="3"/>
    </row>
    <row r="905" spans="5:7" x14ac:dyDescent="0.35">
      <c r="E905" s="3"/>
      <c r="G905" s="3"/>
    </row>
    <row r="906" spans="5:7" x14ac:dyDescent="0.35">
      <c r="E906" s="3"/>
      <c r="G906" s="3"/>
    </row>
    <row r="907" spans="5:7" x14ac:dyDescent="0.35">
      <c r="E907" s="3"/>
      <c r="G907" s="3"/>
    </row>
    <row r="908" spans="5:7" x14ac:dyDescent="0.35">
      <c r="E908" s="3"/>
      <c r="G908" s="3"/>
    </row>
    <row r="909" spans="5:7" x14ac:dyDescent="0.35">
      <c r="E909" s="3"/>
      <c r="G909" s="3"/>
    </row>
    <row r="910" spans="5:7" x14ac:dyDescent="0.35">
      <c r="E910" s="3"/>
      <c r="G910" s="3"/>
    </row>
    <row r="911" spans="5:7" x14ac:dyDescent="0.35">
      <c r="E911" s="3"/>
      <c r="G911" s="3"/>
    </row>
    <row r="912" spans="5:7" x14ac:dyDescent="0.35">
      <c r="E912" s="3"/>
      <c r="G912" s="3"/>
    </row>
    <row r="913" spans="5:7" x14ac:dyDescent="0.35">
      <c r="E913" s="3"/>
      <c r="G913" s="3"/>
    </row>
    <row r="914" spans="5:7" x14ac:dyDescent="0.35">
      <c r="E914" s="3"/>
      <c r="G914" s="3"/>
    </row>
    <row r="915" spans="5:7" x14ac:dyDescent="0.35">
      <c r="E915" s="3"/>
      <c r="G915" s="3"/>
    </row>
    <row r="916" spans="5:7" x14ac:dyDescent="0.35">
      <c r="E916" s="3"/>
      <c r="G916" s="3"/>
    </row>
    <row r="917" spans="5:7" x14ac:dyDescent="0.35">
      <c r="E917" s="3"/>
      <c r="G917" s="3"/>
    </row>
    <row r="918" spans="5:7" x14ac:dyDescent="0.35">
      <c r="E918" s="3"/>
      <c r="G918" s="3"/>
    </row>
    <row r="919" spans="5:7" x14ac:dyDescent="0.35">
      <c r="E919" s="3"/>
      <c r="G919" s="3"/>
    </row>
    <row r="920" spans="5:7" x14ac:dyDescent="0.35">
      <c r="E920" s="3"/>
      <c r="G920" s="3"/>
    </row>
    <row r="921" spans="5:7" x14ac:dyDescent="0.35">
      <c r="E921" s="3"/>
      <c r="G921" s="3"/>
    </row>
    <row r="922" spans="5:7" x14ac:dyDescent="0.35">
      <c r="E922" s="3"/>
      <c r="G922" s="3"/>
    </row>
    <row r="923" spans="5:7" x14ac:dyDescent="0.35">
      <c r="E923" s="3"/>
      <c r="G923" s="3"/>
    </row>
    <row r="924" spans="5:7" x14ac:dyDescent="0.35">
      <c r="E924" s="3"/>
      <c r="G924" s="3"/>
    </row>
    <row r="925" spans="5:7" x14ac:dyDescent="0.35">
      <c r="E925" s="3"/>
      <c r="G925" s="3"/>
    </row>
    <row r="926" spans="5:7" x14ac:dyDescent="0.35">
      <c r="E926" s="3"/>
      <c r="G926" s="3"/>
    </row>
    <row r="927" spans="5:7" x14ac:dyDescent="0.35">
      <c r="E927" s="3"/>
      <c r="G927" s="3"/>
    </row>
    <row r="928" spans="5:7" x14ac:dyDescent="0.35">
      <c r="E928" s="3"/>
      <c r="G928" s="3"/>
    </row>
    <row r="929" spans="5:7" x14ac:dyDescent="0.35">
      <c r="E929" s="3"/>
      <c r="G929" s="3"/>
    </row>
    <row r="930" spans="5:7" x14ac:dyDescent="0.35">
      <c r="E930" s="3"/>
      <c r="G930" s="3"/>
    </row>
    <row r="931" spans="5:7" x14ac:dyDescent="0.35">
      <c r="E931" s="3"/>
      <c r="G931" s="3"/>
    </row>
    <row r="932" spans="5:7" x14ac:dyDescent="0.35">
      <c r="E932" s="3"/>
      <c r="G932" s="3"/>
    </row>
    <row r="933" spans="5:7" x14ac:dyDescent="0.35">
      <c r="E933" s="3"/>
      <c r="G933" s="3"/>
    </row>
    <row r="934" spans="5:7" x14ac:dyDescent="0.35">
      <c r="E934" s="3"/>
      <c r="G934" s="3"/>
    </row>
    <row r="935" spans="5:7" x14ac:dyDescent="0.35">
      <c r="E935" s="3"/>
      <c r="G935" s="3"/>
    </row>
    <row r="936" spans="5:7" x14ac:dyDescent="0.35">
      <c r="E936" s="3"/>
      <c r="G936" s="3"/>
    </row>
    <row r="937" spans="5:7" x14ac:dyDescent="0.35">
      <c r="E937" s="3"/>
      <c r="G937" s="3"/>
    </row>
    <row r="938" spans="5:7" x14ac:dyDescent="0.35">
      <c r="E938" s="3"/>
      <c r="G938" s="3"/>
    </row>
    <row r="939" spans="5:7" x14ac:dyDescent="0.35">
      <c r="E939" s="3"/>
      <c r="G939" s="3"/>
    </row>
    <row r="940" spans="5:7" x14ac:dyDescent="0.35">
      <c r="E940" s="3"/>
      <c r="G940" s="3"/>
    </row>
    <row r="941" spans="5:7" x14ac:dyDescent="0.35">
      <c r="E941" s="3"/>
      <c r="G941" s="3"/>
    </row>
    <row r="942" spans="5:7" x14ac:dyDescent="0.35">
      <c r="E942" s="3"/>
      <c r="G942" s="3"/>
    </row>
    <row r="943" spans="5:7" x14ac:dyDescent="0.35">
      <c r="E943" s="3"/>
      <c r="G943" s="3"/>
    </row>
    <row r="944" spans="5:7" x14ac:dyDescent="0.35">
      <c r="E944" s="3"/>
      <c r="G944" s="3"/>
    </row>
    <row r="945" spans="5:7" x14ac:dyDescent="0.35">
      <c r="E945" s="3"/>
      <c r="G945" s="3"/>
    </row>
    <row r="946" spans="5:7" x14ac:dyDescent="0.35">
      <c r="E946" s="3"/>
      <c r="G946" s="3"/>
    </row>
    <row r="947" spans="5:7" x14ac:dyDescent="0.35">
      <c r="E947" s="3"/>
      <c r="G947" s="3"/>
    </row>
    <row r="948" spans="5:7" x14ac:dyDescent="0.35">
      <c r="E948" s="3"/>
      <c r="G948" s="3"/>
    </row>
    <row r="949" spans="5:7" x14ac:dyDescent="0.35">
      <c r="E949" s="3"/>
      <c r="G949" s="3"/>
    </row>
    <row r="950" spans="5:7" x14ac:dyDescent="0.35">
      <c r="E950" s="3"/>
      <c r="G950" s="3"/>
    </row>
    <row r="951" spans="5:7" x14ac:dyDescent="0.35">
      <c r="E951" s="3"/>
      <c r="G951" s="3"/>
    </row>
    <row r="952" spans="5:7" x14ac:dyDescent="0.35">
      <c r="E952" s="3"/>
      <c r="G952" s="3"/>
    </row>
    <row r="953" spans="5:7" x14ac:dyDescent="0.35">
      <c r="E953" s="3"/>
      <c r="G953" s="3"/>
    </row>
    <row r="954" spans="5:7" x14ac:dyDescent="0.35">
      <c r="E954" s="3"/>
      <c r="G954" s="3"/>
    </row>
    <row r="955" spans="5:7" x14ac:dyDescent="0.35">
      <c r="E955" s="3"/>
      <c r="G955" s="3"/>
    </row>
    <row r="956" spans="5:7" x14ac:dyDescent="0.35">
      <c r="E956" s="3"/>
      <c r="G956" s="3"/>
    </row>
    <row r="957" spans="5:7" x14ac:dyDescent="0.35">
      <c r="E957" s="3"/>
      <c r="G957" s="3"/>
    </row>
    <row r="958" spans="5:7" x14ac:dyDescent="0.35">
      <c r="E958" s="3"/>
      <c r="G958" s="3"/>
    </row>
    <row r="959" spans="5:7" x14ac:dyDescent="0.35">
      <c r="E959" s="3"/>
      <c r="G959" s="3"/>
    </row>
    <row r="960" spans="5:7" x14ac:dyDescent="0.35">
      <c r="E960" s="3"/>
      <c r="G960" s="3"/>
    </row>
    <row r="961" spans="5:7" x14ac:dyDescent="0.35">
      <c r="E961" s="3"/>
      <c r="G961" s="3"/>
    </row>
    <row r="962" spans="5:7" x14ac:dyDescent="0.35">
      <c r="E962" s="3"/>
      <c r="G962" s="3"/>
    </row>
    <row r="963" spans="5:7" x14ac:dyDescent="0.35">
      <c r="E963" s="3"/>
      <c r="G963" s="3"/>
    </row>
    <row r="964" spans="5:7" x14ac:dyDescent="0.35">
      <c r="E964" s="3"/>
      <c r="G964" s="3"/>
    </row>
    <row r="965" spans="5:7" x14ac:dyDescent="0.35">
      <c r="E965" s="3"/>
      <c r="G965" s="3"/>
    </row>
    <row r="966" spans="5:7" x14ac:dyDescent="0.35">
      <c r="E966" s="3"/>
      <c r="G966" s="3"/>
    </row>
    <row r="967" spans="5:7" x14ac:dyDescent="0.35">
      <c r="E967" s="3"/>
      <c r="G967" s="3"/>
    </row>
    <row r="968" spans="5:7" x14ac:dyDescent="0.35">
      <c r="E968" s="3"/>
      <c r="G968" s="3"/>
    </row>
    <row r="969" spans="5:7" x14ac:dyDescent="0.35">
      <c r="E969" s="3"/>
      <c r="G969" s="3"/>
    </row>
    <row r="970" spans="5:7" x14ac:dyDescent="0.35">
      <c r="E970" s="3"/>
      <c r="G970" s="3"/>
    </row>
    <row r="971" spans="5:7" x14ac:dyDescent="0.35">
      <c r="E971" s="3"/>
      <c r="G971" s="3"/>
    </row>
    <row r="972" spans="5:7" x14ac:dyDescent="0.35">
      <c r="E972" s="3"/>
      <c r="G972" s="3"/>
    </row>
    <row r="973" spans="5:7" x14ac:dyDescent="0.35">
      <c r="E973" s="3"/>
      <c r="G973" s="3"/>
    </row>
    <row r="974" spans="5:7" x14ac:dyDescent="0.35">
      <c r="E974" s="3"/>
      <c r="G974" s="3"/>
    </row>
    <row r="975" spans="5:7" x14ac:dyDescent="0.35">
      <c r="E975" s="3"/>
      <c r="G975" s="3"/>
    </row>
    <row r="976" spans="5:7" x14ac:dyDescent="0.35">
      <c r="E976" s="3"/>
      <c r="G976" s="3"/>
    </row>
    <row r="977" spans="5:7" x14ac:dyDescent="0.35">
      <c r="E977" s="3"/>
      <c r="G977" s="3"/>
    </row>
    <row r="978" spans="5:7" x14ac:dyDescent="0.35">
      <c r="E978" s="3"/>
      <c r="G978" s="3"/>
    </row>
    <row r="979" spans="5:7" x14ac:dyDescent="0.35">
      <c r="E979" s="3"/>
      <c r="G979" s="3"/>
    </row>
    <row r="980" spans="5:7" x14ac:dyDescent="0.35">
      <c r="E980" s="3"/>
      <c r="G980" s="3"/>
    </row>
    <row r="981" spans="5:7" x14ac:dyDescent="0.35">
      <c r="E981" s="3"/>
      <c r="G981" s="3"/>
    </row>
    <row r="982" spans="5:7" x14ac:dyDescent="0.35">
      <c r="E982" s="3"/>
      <c r="G982" s="3"/>
    </row>
    <row r="983" spans="5:7" x14ac:dyDescent="0.35">
      <c r="E983" s="3"/>
      <c r="G983" s="3"/>
    </row>
    <row r="984" spans="5:7" x14ac:dyDescent="0.35">
      <c r="E984" s="3"/>
      <c r="G984" s="3"/>
    </row>
    <row r="985" spans="5:7" x14ac:dyDescent="0.35">
      <c r="E985" s="3"/>
      <c r="G985" s="3"/>
    </row>
    <row r="986" spans="5:7" x14ac:dyDescent="0.35">
      <c r="E986" s="3"/>
      <c r="G986" s="3"/>
    </row>
    <row r="987" spans="5:7" x14ac:dyDescent="0.35">
      <c r="E987" s="3"/>
      <c r="G987" s="3"/>
    </row>
    <row r="988" spans="5:7" x14ac:dyDescent="0.35">
      <c r="E988" s="3"/>
      <c r="G988" s="3"/>
    </row>
    <row r="989" spans="5:7" x14ac:dyDescent="0.35">
      <c r="E989" s="3"/>
      <c r="G989" s="3"/>
    </row>
    <row r="990" spans="5:7" x14ac:dyDescent="0.35">
      <c r="E990" s="3"/>
      <c r="G990" s="3"/>
    </row>
    <row r="991" spans="5:7" x14ac:dyDescent="0.35">
      <c r="E991" s="3"/>
      <c r="G991" s="3"/>
    </row>
    <row r="992" spans="5:7" x14ac:dyDescent="0.35">
      <c r="E992" s="3"/>
      <c r="G992" s="3"/>
    </row>
    <row r="993" spans="5:7" x14ac:dyDescent="0.35">
      <c r="E993" s="3"/>
      <c r="G993" s="3"/>
    </row>
    <row r="994" spans="5:7" x14ac:dyDescent="0.35">
      <c r="E994" s="3"/>
      <c r="G994" s="3"/>
    </row>
    <row r="995" spans="5:7" x14ac:dyDescent="0.35">
      <c r="E995" s="3"/>
      <c r="G995" s="3"/>
    </row>
    <row r="996" spans="5:7" x14ac:dyDescent="0.35">
      <c r="E996" s="3"/>
      <c r="G996" s="3"/>
    </row>
    <row r="997" spans="5:7" x14ac:dyDescent="0.35">
      <c r="E997" s="3"/>
      <c r="G997" s="3"/>
    </row>
    <row r="998" spans="5:7" x14ac:dyDescent="0.35">
      <c r="E998" s="3"/>
      <c r="G998" s="3"/>
    </row>
    <row r="999" spans="5:7" x14ac:dyDescent="0.35">
      <c r="E999" s="3"/>
      <c r="G999" s="3"/>
    </row>
    <row r="1000" spans="5:7" x14ac:dyDescent="0.35">
      <c r="E1000" s="3"/>
      <c r="G1000" s="3"/>
    </row>
    <row r="1001" spans="5:7" x14ac:dyDescent="0.35">
      <c r="E1001" s="3"/>
      <c r="G1001" s="3"/>
    </row>
  </sheetData>
  <autoFilter ref="A1:H501" xr:uid="{00000000-0009-0000-0000-000002000000}"/>
  <conditionalFormatting sqref="E2:E1000">
    <cfRule type="expression" dxfId="111" priority="1" stopIfTrue="1">
      <formula>LOWER(TRIM(E2))="ja"</formula>
    </cfRule>
    <cfRule type="expression" dxfId="110" priority="2" stopIfTrue="1">
      <formula>LOWER(TRIM(E2))="nei"</formula>
    </cfRule>
  </conditionalFormatting>
  <conditionalFormatting sqref="G2:G1000">
    <cfRule type="expression" dxfId="109" priority="3" stopIfTrue="1">
      <formula>LOWER(TRIM(G2))="ja"</formula>
    </cfRule>
    <cfRule type="expression" dxfId="108" priority="4" stopIfTrue="1">
      <formula>LOWER(TRIM(G2))="nei"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INFO</vt:lpstr>
      <vt:lpstr>Input</vt:lpstr>
      <vt:lpstr>Alphabetisk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Mads Furenes</cp:lastModifiedBy>
  <dcterms:created xsi:type="dcterms:W3CDTF">2026-08-19T17:10:21Z</dcterms:created>
  <dcterms:modified xsi:type="dcterms:W3CDTF">2026-08-20T19:57:53Z</dcterms:modified>
</cp:coreProperties>
</file>